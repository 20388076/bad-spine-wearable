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zn350-my.sharepoint.com/personal/axilpits_ns824g_onmicrosoft_com/Documents/PlatformIO/PlatformIO/Projects/bad-spine-wearable-1/Compare ESP vs PC/"/>
    </mc:Choice>
  </mc:AlternateContent>
  <xr:revisionPtr revIDLastSave="176" documentId="8_{DA152AAD-698B-4200-8D27-5C498757663A}" xr6:coauthVersionLast="47" xr6:coauthVersionMax="47" xr10:uidLastSave="{72C524D1-E34A-41E4-9362-808A17291635}"/>
  <bookViews>
    <workbookView xWindow="-108" yWindow="-108" windowWidth="23256" windowHeight="12456" xr2:uid="{AF1CF56E-226D-47E3-8298-81B44335BC6E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3" i="1" l="1" a="1"/>
  <c r="BY3" i="1" s="1"/>
  <c r="BM3" i="1" l="1"/>
  <c r="BI3" i="1"/>
  <c r="BA3" i="1" a="1"/>
  <c r="BA3" i="1" s="1"/>
  <c r="BE3" i="1" a="1"/>
  <c r="BE3" i="1" s="1"/>
  <c r="AW3" i="1"/>
  <c r="BS3" i="1"/>
  <c r="G3" i="1"/>
  <c r="BQ3" i="1" l="1"/>
  <c r="CA3" i="1"/>
  <c r="BO3" i="1"/>
  <c r="BK3" i="1"/>
  <c r="BC3" i="1"/>
  <c r="AY3" i="1"/>
  <c r="AS3" i="1"/>
  <c r="AU3" i="1" s="1"/>
  <c r="AO3" i="1"/>
  <c r="AQ3" i="1" s="1"/>
  <c r="AK3" i="1"/>
  <c r="AM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3" i="1"/>
  <c r="K8" i="1"/>
  <c r="K12" i="1"/>
  <c r="I3" i="1"/>
  <c r="K3" i="1" s="1"/>
  <c r="I4" i="1"/>
  <c r="K4" i="1" s="1"/>
  <c r="I5" i="1"/>
  <c r="K5" i="1" s="1"/>
  <c r="I6" i="1"/>
  <c r="K6" i="1" s="1"/>
  <c r="I7" i="1"/>
  <c r="K7" i="1" s="1"/>
  <c r="I8" i="1"/>
  <c r="I9" i="1"/>
  <c r="K9" i="1" s="1"/>
  <c r="I10" i="1"/>
  <c r="K10" i="1" s="1"/>
  <c r="I11" i="1"/>
  <c r="K11" i="1" s="1"/>
  <c r="I12" i="1"/>
  <c r="BG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<sst xmlns="http://schemas.openxmlformats.org/spreadsheetml/2006/main" count="79" uniqueCount="24">
  <si>
    <t>acceleration_x_window_mean</t>
  </si>
  <si>
    <t>acceleration_x_window_max</t>
  </si>
  <si>
    <t>acceleration_x_window_min</t>
  </si>
  <si>
    <t>Signal Magnitude Area Accelerometer</t>
  </si>
  <si>
    <t>RMS_acceleration x</t>
  </si>
  <si>
    <t>MAD_acceleration x</t>
  </si>
  <si>
    <t>VAR_acceleration x</t>
  </si>
  <si>
    <t>STD_acceleration x</t>
  </si>
  <si>
    <t>IQR_acceleration x</t>
  </si>
  <si>
    <t>FFT_acceleration x</t>
  </si>
  <si>
    <t>ENERGY_acceleration x</t>
  </si>
  <si>
    <t>PC</t>
  </si>
  <si>
    <t>Excel - Hand</t>
  </si>
  <si>
    <t>diff</t>
  </si>
  <si>
    <t>Acceleration Sum Vector Magnitude (SVM_a)</t>
  </si>
  <si>
    <t>Acceleration Cubic Product Magnitude (CM_a)</t>
  </si>
  <si>
    <t>jerk x</t>
  </si>
  <si>
    <t>jerk y</t>
  </si>
  <si>
    <t>jerk z</t>
  </si>
  <si>
    <t>acceleration x (g)</t>
  </si>
  <si>
    <t>acceleration y (g)</t>
  </si>
  <si>
    <t>acceleration z (g)</t>
  </si>
  <si>
    <t>theta x</t>
  </si>
  <si>
    <t>theta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</si>
</sst>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00_);_(* \(#,##0.000\);_(* &quot;-&quot;??_);_(@_)"/>
    <numFmt numFmtId="165" formatCode="0.000"/>
    <numFmt numFmtId="166" formatCode="0.000000000000000000000"/>
    <numFmt numFmtId="167" formatCode="0.0000000000000"/>
    <numFmt numFmtId="174" formatCode="0.000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2">
    <cellStyle name="Κανονικό" xfId="0" builtinId="0"/>
    <cellStyle name="Κόμμα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DF56-D6F9-4C29-BC0A-4AFB4EF6E6A1}">
  <dimension ref="A1:CB36"/>
  <sheetViews>
    <sheetView tabSelected="1" workbookViewId="0">
      <selection activeCell="BY4" sqref="BY4"/>
    </sheetView>
  </sheetViews>
  <sheetFormatPr defaultRowHeight="14.4" x14ac:dyDescent="0.3"/>
  <cols>
    <col min="1" max="1" width="16.109375" customWidth="1"/>
    <col min="2" max="2" width="15.44140625" customWidth="1"/>
    <col min="3" max="3" width="17.77734375" customWidth="1"/>
    <col min="5" max="5" width="15.77734375" customWidth="1"/>
    <col min="6" max="6" width="10.33203125" customWidth="1"/>
    <col min="7" max="7" width="12.33203125" customWidth="1"/>
    <col min="8" max="8" width="5.5546875" customWidth="1"/>
    <col min="9" max="9" width="11.44140625" customWidth="1"/>
    <col min="10" max="10" width="13.21875" customWidth="1"/>
    <col min="11" max="11" width="12.109375" customWidth="1"/>
    <col min="13" max="13" width="11" bestFit="1" customWidth="1"/>
    <col min="16" max="16" width="7.33203125" customWidth="1"/>
    <col min="17" max="17" width="11.33203125" customWidth="1"/>
    <col min="20" max="20" width="7.88671875" customWidth="1"/>
    <col min="21" max="21" width="10.77734375" customWidth="1"/>
    <col min="25" max="25" width="12.33203125" customWidth="1"/>
    <col min="29" max="29" width="12.44140625" customWidth="1"/>
    <col min="33" max="33" width="15.21875" customWidth="1"/>
    <col min="35" max="35" width="12" bestFit="1" customWidth="1"/>
    <col min="37" max="37" width="12.6640625" customWidth="1"/>
    <col min="41" max="41" width="11.6640625" customWidth="1"/>
    <col min="45" max="45" width="11.33203125" customWidth="1"/>
    <col min="49" max="49" width="12.5546875" customWidth="1"/>
    <col min="50" max="50" width="16.33203125" bestFit="1" customWidth="1"/>
    <col min="51" max="51" width="10" customWidth="1"/>
    <col min="53" max="53" width="16.88671875" customWidth="1"/>
    <col min="57" max="57" width="24.88671875" customWidth="1"/>
    <col min="59" max="59" width="12.109375" customWidth="1"/>
    <col min="61" max="61" width="12" customWidth="1"/>
    <col min="63" max="63" width="11.109375" customWidth="1"/>
    <col min="65" max="65" width="10" customWidth="1"/>
    <col min="69" max="69" width="10.5546875" customWidth="1"/>
    <col min="73" max="73" width="10.88671875" customWidth="1"/>
    <col min="77" max="77" width="12.109375" customWidth="1"/>
  </cols>
  <sheetData>
    <row r="1" spans="1:80" x14ac:dyDescent="0.3">
      <c r="A1" s="2" t="s">
        <v>19</v>
      </c>
      <c r="B1" s="2" t="s">
        <v>20</v>
      </c>
      <c r="C1" s="2" t="s">
        <v>21</v>
      </c>
      <c r="D1" s="1"/>
      <c r="E1" s="8" t="s">
        <v>14</v>
      </c>
      <c r="F1" s="8"/>
      <c r="G1" s="8"/>
      <c r="H1" s="1"/>
      <c r="I1" s="8" t="s">
        <v>15</v>
      </c>
      <c r="J1" s="8"/>
      <c r="K1" s="8"/>
      <c r="L1" s="1"/>
      <c r="M1" s="15" t="s">
        <v>16</v>
      </c>
      <c r="N1" s="15"/>
      <c r="O1" s="15"/>
      <c r="Q1" s="15" t="s">
        <v>17</v>
      </c>
      <c r="R1" s="15"/>
      <c r="S1" s="15"/>
      <c r="U1" s="15" t="s">
        <v>18</v>
      </c>
      <c r="V1" s="15"/>
      <c r="W1" s="15"/>
      <c r="Y1" s="15" t="s">
        <v>22</v>
      </c>
      <c r="Z1" s="15"/>
      <c r="AA1" s="15"/>
      <c r="AC1" s="15" t="s">
        <v>23</v>
      </c>
      <c r="AD1" s="15"/>
      <c r="AE1" s="15"/>
      <c r="AG1" s="15" t="s">
        <v>22</v>
      </c>
      <c r="AH1" s="15"/>
      <c r="AI1" s="15"/>
      <c r="AK1" s="8" t="s">
        <v>0</v>
      </c>
      <c r="AL1" s="8"/>
      <c r="AM1" s="8"/>
      <c r="AN1" s="3"/>
      <c r="AO1" s="8" t="s">
        <v>1</v>
      </c>
      <c r="AP1" s="8"/>
      <c r="AQ1" s="8"/>
      <c r="AR1" s="1"/>
      <c r="AS1" s="8" t="s">
        <v>2</v>
      </c>
      <c r="AT1" s="8"/>
      <c r="AU1" s="8"/>
      <c r="AV1" s="1"/>
      <c r="AW1" s="8" t="s">
        <v>3</v>
      </c>
      <c r="AX1" s="8"/>
      <c r="AY1" s="8"/>
      <c r="AZ1" s="1"/>
      <c r="BA1" s="2" t="s">
        <v>4</v>
      </c>
      <c r="BB1" s="2"/>
      <c r="BC1" s="2"/>
      <c r="BD1" s="1"/>
      <c r="BE1" s="8" t="s">
        <v>5</v>
      </c>
      <c r="BF1" s="8"/>
      <c r="BG1" s="8"/>
      <c r="BH1" s="1"/>
      <c r="BI1" s="8" t="s">
        <v>6</v>
      </c>
      <c r="BJ1" s="8"/>
      <c r="BK1" s="8"/>
      <c r="BL1" s="1"/>
      <c r="BM1" s="8" t="s">
        <v>7</v>
      </c>
      <c r="BN1" s="8"/>
      <c r="BO1" s="8"/>
      <c r="BP1" s="1"/>
      <c r="BQ1" s="8" t="s">
        <v>8</v>
      </c>
      <c r="BR1" s="8"/>
      <c r="BS1" s="8"/>
      <c r="BT1" s="1"/>
      <c r="BU1" s="8" t="s">
        <v>9</v>
      </c>
      <c r="BV1" s="8"/>
      <c r="BW1" s="8"/>
      <c r="BX1" s="1"/>
      <c r="BY1" s="8" t="s">
        <v>10</v>
      </c>
      <c r="BZ1" s="8"/>
      <c r="CA1" s="8"/>
      <c r="CB1" s="1"/>
    </row>
    <row r="2" spans="1:80" x14ac:dyDescent="0.3">
      <c r="A2" s="1"/>
      <c r="B2" s="1"/>
      <c r="C2" s="1"/>
      <c r="D2" s="1"/>
      <c r="E2" s="13" t="s">
        <v>12</v>
      </c>
      <c r="F2" s="11" t="s">
        <v>11</v>
      </c>
      <c r="G2" s="14" t="s">
        <v>13</v>
      </c>
      <c r="H2" s="1"/>
      <c r="I2" s="13" t="s">
        <v>12</v>
      </c>
      <c r="J2" s="11" t="s">
        <v>11</v>
      </c>
      <c r="K2" s="14" t="s">
        <v>13</v>
      </c>
      <c r="L2" s="1"/>
      <c r="M2" s="13" t="s">
        <v>12</v>
      </c>
      <c r="N2" s="11" t="s">
        <v>11</v>
      </c>
      <c r="O2" s="14" t="s">
        <v>13</v>
      </c>
      <c r="Q2" s="13" t="s">
        <v>12</v>
      </c>
      <c r="R2" s="11" t="s">
        <v>11</v>
      </c>
      <c r="S2" s="14" t="s">
        <v>13</v>
      </c>
      <c r="U2" s="13" t="s">
        <v>12</v>
      </c>
      <c r="V2" s="11" t="s">
        <v>11</v>
      </c>
      <c r="W2" s="14" t="s">
        <v>13</v>
      </c>
      <c r="Y2" s="13" t="s">
        <v>12</v>
      </c>
      <c r="Z2" s="11" t="s">
        <v>11</v>
      </c>
      <c r="AA2" s="14" t="s">
        <v>13</v>
      </c>
      <c r="AC2" s="13" t="s">
        <v>12</v>
      </c>
      <c r="AD2" s="11" t="s">
        <v>11</v>
      </c>
      <c r="AE2" s="14" t="s">
        <v>13</v>
      </c>
      <c r="AG2" s="13" t="s">
        <v>12</v>
      </c>
      <c r="AH2" s="11" t="s">
        <v>11</v>
      </c>
      <c r="AI2" s="14" t="s">
        <v>13</v>
      </c>
      <c r="AK2" s="13" t="s">
        <v>12</v>
      </c>
      <c r="AL2" s="11" t="s">
        <v>11</v>
      </c>
      <c r="AM2" s="14" t="s">
        <v>13</v>
      </c>
      <c r="AN2" s="1"/>
      <c r="AO2" s="13" t="s">
        <v>12</v>
      </c>
      <c r="AP2" s="11" t="s">
        <v>11</v>
      </c>
      <c r="AQ2" s="14" t="s">
        <v>13</v>
      </c>
      <c r="AR2" s="1"/>
      <c r="AS2" s="13" t="s">
        <v>12</v>
      </c>
      <c r="AT2" s="11" t="s">
        <v>11</v>
      </c>
      <c r="AU2" s="14" t="s">
        <v>13</v>
      </c>
      <c r="AV2" s="1"/>
      <c r="AW2" s="13" t="s">
        <v>12</v>
      </c>
      <c r="AX2" s="11" t="s">
        <v>11</v>
      </c>
      <c r="AY2" s="14" t="s">
        <v>13</v>
      </c>
      <c r="AZ2" s="1"/>
      <c r="BA2" s="13" t="s">
        <v>12</v>
      </c>
      <c r="BB2" s="11" t="s">
        <v>11</v>
      </c>
      <c r="BC2" s="14" t="s">
        <v>13</v>
      </c>
      <c r="BD2" s="1"/>
      <c r="BE2" s="13" t="s">
        <v>12</v>
      </c>
      <c r="BF2" s="11" t="s">
        <v>11</v>
      </c>
      <c r="BG2" s="14" t="s">
        <v>13</v>
      </c>
      <c r="BH2" s="1"/>
      <c r="BI2" s="13" t="s">
        <v>12</v>
      </c>
      <c r="BJ2" s="11" t="s">
        <v>11</v>
      </c>
      <c r="BK2" s="14" t="s">
        <v>13</v>
      </c>
      <c r="BL2" s="1"/>
      <c r="BM2" s="13" t="s">
        <v>12</v>
      </c>
      <c r="BN2" s="11" t="s">
        <v>11</v>
      </c>
      <c r="BO2" s="14" t="s">
        <v>13</v>
      </c>
      <c r="BP2" s="1"/>
      <c r="BQ2" s="13" t="s">
        <v>12</v>
      </c>
      <c r="BR2" s="11" t="s">
        <v>11</v>
      </c>
      <c r="BS2" s="14" t="s">
        <v>13</v>
      </c>
      <c r="BT2" s="1"/>
      <c r="BU2" s="13" t="s">
        <v>12</v>
      </c>
      <c r="BV2" s="11" t="s">
        <v>11</v>
      </c>
      <c r="BW2" s="14" t="s">
        <v>13</v>
      </c>
      <c r="BX2" s="1"/>
      <c r="BY2" s="13" t="s">
        <v>12</v>
      </c>
      <c r="BZ2" s="11" t="s">
        <v>11</v>
      </c>
      <c r="CA2" s="14" t="s">
        <v>13</v>
      </c>
      <c r="CB2" s="1"/>
    </row>
    <row r="3" spans="1:80" x14ac:dyDescent="0.3">
      <c r="A3" s="10">
        <v>-0.30499999999999999</v>
      </c>
      <c r="B3" s="11">
        <v>4.9000000000000002E-2</v>
      </c>
      <c r="C3" s="12">
        <v>-0.93899999999999995</v>
      </c>
      <c r="D3" s="1"/>
      <c r="E3" s="1">
        <f>SQRT((A3^2)+(B3^2)+(C3^2))</f>
        <v>0.98850746077103524</v>
      </c>
      <c r="F3" s="1">
        <v>0.98899999999999999</v>
      </c>
      <c r="G3" s="9">
        <f>E3-F3</f>
        <v>-4.9253922896475011E-4</v>
      </c>
      <c r="H3" s="1"/>
      <c r="I3" s="1">
        <f t="shared" ref="I3:I34" si="0">(A3*B3*C3)^(1/3)</f>
        <v>0.24120548007537651</v>
      </c>
      <c r="J3" s="1">
        <v>0.24099999999999999</v>
      </c>
      <c r="K3" s="9">
        <f>I3-J3</f>
        <v>2.0548007537651847E-4</v>
      </c>
      <c r="L3" s="1"/>
      <c r="N3">
        <v>0</v>
      </c>
      <c r="R3">
        <v>0</v>
      </c>
      <c r="V3">
        <v>0</v>
      </c>
      <c r="Z3">
        <v>1.8839999999999999</v>
      </c>
      <c r="AD3">
        <v>1.5209999999999999</v>
      </c>
      <c r="AH3">
        <v>2.8239999999999998</v>
      </c>
      <c r="AK3" s="5">
        <f>AVERAGE(A3:A34)</f>
        <v>-0.29969999999999997</v>
      </c>
      <c r="AL3">
        <v>-0.3</v>
      </c>
      <c r="AM3" s="1">
        <f>AK3-AL3</f>
        <v>3.0000000000002247E-4</v>
      </c>
      <c r="AN3" s="3"/>
      <c r="AO3" s="1">
        <f>MAX(A3:A34)</f>
        <v>-0.29399999999999998</v>
      </c>
      <c r="AP3">
        <v>-0.29399999999999998</v>
      </c>
      <c r="AQ3" s="1">
        <f>AO3-AP3</f>
        <v>0</v>
      </c>
      <c r="AR3" s="1"/>
      <c r="AS3" s="1">
        <f>MIN(A3:A34)</f>
        <v>-0.308</v>
      </c>
      <c r="AT3">
        <v>-0.308</v>
      </c>
      <c r="AU3" s="1">
        <f>AS3-AT3</f>
        <v>0</v>
      </c>
      <c r="AV3" s="1"/>
      <c r="AW3" s="1">
        <f>( ABS(SUM(A3:A12) + SUM(B3:B12) + SUM(C3:C12)) ) /10</f>
        <v>1.1804000000000001</v>
      </c>
      <c r="AX3">
        <v>1.302</v>
      </c>
      <c r="AY3" s="1">
        <f>AW3-AX3</f>
        <v>-0.12159999999999993</v>
      </c>
      <c r="AZ3" s="1"/>
      <c r="BA3" s="1" cm="1">
        <f t="array" ref="BA3">SQRT((SUM(POWER(A3:A12,2)))/10)</f>
        <v>0.29973504966887005</v>
      </c>
      <c r="BB3" s="1">
        <v>0.189</v>
      </c>
      <c r="BC3" s="1">
        <f>BA3-BB3</f>
        <v>0.11073504966887004</v>
      </c>
      <c r="BD3" s="1"/>
      <c r="BE3" s="6" cm="1">
        <f t="array" ref="BE3">(SUM(ABS(A3:A12 - AVERAGE(A3:A12))))/10</f>
        <v>4.0399999999999993E-3</v>
      </c>
      <c r="BF3" s="1">
        <v>4.0000000000000001E-3</v>
      </c>
      <c r="BG3" s="1">
        <f>BE3-BF3</f>
        <v>3.9999999999999238E-5</v>
      </c>
      <c r="BH3" s="1"/>
      <c r="BI3" s="1">
        <f>_xlfn.VAR.P(A3:A12)</f>
        <v>2.1010000000000034E-5</v>
      </c>
      <c r="BJ3" s="1">
        <v>0</v>
      </c>
      <c r="BK3" s="1">
        <f>BI3-BJ3</f>
        <v>2.1010000000000034E-5</v>
      </c>
      <c r="BL3" s="1"/>
      <c r="BM3" s="1">
        <f>_xlfn.STDEV.P(A3:A12)</f>
        <v>4.58366665454634E-3</v>
      </c>
      <c r="BN3">
        <v>5.0000000000000001E-3</v>
      </c>
      <c r="BO3" s="1">
        <f>BM3-BN3</f>
        <v>-4.163333454536601E-4</v>
      </c>
      <c r="BP3" s="1"/>
      <c r="BQ3" s="1">
        <f>QUARTILE(A3:A34,3)- QUARTILE(A3:A34,1)</f>
        <v>7.2499999999999787E-3</v>
      </c>
      <c r="BR3">
        <v>7.0000000000000001E-3</v>
      </c>
      <c r="BS3" s="1">
        <f>BQ3-BR3</f>
        <v>2.4999999999997854E-4</v>
      </c>
      <c r="BT3" s="1"/>
      <c r="BU3" s="1"/>
      <c r="BV3">
        <v>-2.9969999999999999</v>
      </c>
      <c r="BW3" s="1"/>
      <c r="BX3" s="1"/>
      <c r="BY3" s="1" cm="1">
        <f t="array" ref="BY3">(SUM(POWER(BV3:BV12,2)))/10</f>
        <v>0.89830600000000038</v>
      </c>
      <c r="BZ3">
        <v>0.89800000000000002</v>
      </c>
      <c r="CA3" s="1">
        <f>BY3-BZ3</f>
        <v>3.0600000000036154E-4</v>
      </c>
      <c r="CB3" s="1"/>
    </row>
    <row r="4" spans="1:80" x14ac:dyDescent="0.3">
      <c r="A4" s="10">
        <v>-0.30399999999999999</v>
      </c>
      <c r="B4" s="11">
        <v>5.0999999999999997E-2</v>
      </c>
      <c r="C4" s="12">
        <v>-0.94199999999999995</v>
      </c>
      <c r="D4" s="1"/>
      <c r="E4" s="1">
        <f t="shared" ref="E4:E34" si="1">SQRT((A4^2)+(B4^2)+(C4^2))</f>
        <v>0.99115135070280758</v>
      </c>
      <c r="F4" s="1">
        <v>0.99099999999999999</v>
      </c>
      <c r="G4" s="9">
        <f t="shared" ref="G4:G34" si="2">E4-F4</f>
        <v>1.5135070280758445E-4</v>
      </c>
      <c r="H4" s="1"/>
      <c r="I4" s="1">
        <f t="shared" si="0"/>
        <v>0.24443584199907373</v>
      </c>
      <c r="J4" s="1">
        <v>0.24399999999999999</v>
      </c>
      <c r="K4" s="9">
        <f t="shared" ref="K4:K34" si="3">I4-J4</f>
        <v>4.3584199907373278E-4</v>
      </c>
      <c r="L4" s="1"/>
      <c r="N4">
        <v>0</v>
      </c>
      <c r="R4">
        <v>0</v>
      </c>
      <c r="V4">
        <v>0</v>
      </c>
      <c r="Z4">
        <v>1.883</v>
      </c>
      <c r="AD4">
        <v>1.5189999999999999</v>
      </c>
      <c r="AH4">
        <v>2.8250000000000002</v>
      </c>
      <c r="AK4" s="1"/>
      <c r="AL4" s="1"/>
      <c r="AM4" s="1"/>
      <c r="AN4" s="3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4"/>
      <c r="BV4">
        <v>-0.02</v>
      </c>
      <c r="BW4" s="7"/>
      <c r="BX4" s="1"/>
      <c r="BY4" s="1"/>
      <c r="BZ4" s="1"/>
      <c r="CA4" s="1"/>
      <c r="CB4" s="1"/>
    </row>
    <row r="5" spans="1:80" x14ac:dyDescent="0.3">
      <c r="A5" s="10">
        <v>-0.308</v>
      </c>
      <c r="B5" s="11">
        <v>5.2999999999999999E-2</v>
      </c>
      <c r="C5" s="12">
        <v>-0.93799999999999994</v>
      </c>
      <c r="D5" s="1"/>
      <c r="E5" s="1">
        <f t="shared" si="1"/>
        <v>0.98869459389641645</v>
      </c>
      <c r="F5" s="1">
        <v>0.98899999999999999</v>
      </c>
      <c r="G5" s="9">
        <f t="shared" si="2"/>
        <v>-3.054061035835387E-4</v>
      </c>
      <c r="H5" s="1"/>
      <c r="I5" s="1">
        <f t="shared" si="0"/>
        <v>0.24831891853128837</v>
      </c>
      <c r="J5" s="1">
        <v>0.248</v>
      </c>
      <c r="K5" s="9">
        <f t="shared" si="3"/>
        <v>3.1891853128837577E-4</v>
      </c>
      <c r="L5" s="1"/>
      <c r="N5">
        <v>0</v>
      </c>
      <c r="R5">
        <v>0</v>
      </c>
      <c r="V5">
        <v>0</v>
      </c>
      <c r="Z5">
        <v>1.8879999999999999</v>
      </c>
      <c r="AD5">
        <v>1.5169999999999999</v>
      </c>
      <c r="AH5">
        <v>2.82</v>
      </c>
      <c r="AK5" s="1"/>
      <c r="AL5" s="1"/>
      <c r="AM5" s="1"/>
      <c r="AN5" s="3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4"/>
      <c r="BV5">
        <v>6.0000000000000001E-3</v>
      </c>
      <c r="BW5" s="7"/>
      <c r="BX5" s="1"/>
      <c r="BY5" s="1"/>
      <c r="BZ5" s="1"/>
      <c r="CA5" s="1"/>
      <c r="CB5" s="1"/>
    </row>
    <row r="6" spans="1:80" x14ac:dyDescent="0.3">
      <c r="A6" s="10">
        <v>-0.30199999999999999</v>
      </c>
      <c r="B6" s="11">
        <v>5.7000000000000002E-2</v>
      </c>
      <c r="C6" s="12">
        <v>-0.94199999999999995</v>
      </c>
      <c r="D6" s="1"/>
      <c r="E6" s="1">
        <f t="shared" si="1"/>
        <v>0.99086679225817231</v>
      </c>
      <c r="F6" s="1">
        <v>0.99099999999999999</v>
      </c>
      <c r="G6" s="9">
        <f t="shared" si="2"/>
        <v>-1.3320774182767892E-4</v>
      </c>
      <c r="H6" s="1"/>
      <c r="I6" s="1">
        <f t="shared" si="0"/>
        <v>0.25311093053943579</v>
      </c>
      <c r="J6" s="1">
        <v>0.253</v>
      </c>
      <c r="K6" s="9">
        <f t="shared" si="3"/>
        <v>1.109305394357829E-4</v>
      </c>
      <c r="L6" s="1"/>
      <c r="N6">
        <v>0</v>
      </c>
      <c r="R6">
        <v>0</v>
      </c>
      <c r="V6">
        <v>0</v>
      </c>
      <c r="Z6">
        <v>1.881</v>
      </c>
      <c r="AD6">
        <v>1.5129999999999999</v>
      </c>
      <c r="AH6">
        <v>2.8260000000000001</v>
      </c>
      <c r="AK6" s="1"/>
      <c r="AL6" s="1"/>
      <c r="AM6" s="1"/>
      <c r="AN6" s="3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4"/>
      <c r="BV6">
        <v>-2E-3</v>
      </c>
      <c r="BW6" s="7"/>
      <c r="BX6" s="1"/>
      <c r="BY6" s="1"/>
      <c r="BZ6" s="1"/>
      <c r="CA6" s="1"/>
      <c r="CB6" s="1"/>
    </row>
    <row r="7" spans="1:80" x14ac:dyDescent="0.3">
      <c r="A7" s="10">
        <v>-0.29899999999999999</v>
      </c>
      <c r="B7" s="11">
        <v>6.0999999999999999E-2</v>
      </c>
      <c r="C7" s="12">
        <v>-0.94099999999999995</v>
      </c>
      <c r="D7" s="1"/>
      <c r="E7" s="1">
        <f t="shared" si="1"/>
        <v>0.98924365047242024</v>
      </c>
      <c r="F7" s="1">
        <v>0.98899999999999999</v>
      </c>
      <c r="G7" s="9">
        <f t="shared" si="2"/>
        <v>2.4365047242025373E-4</v>
      </c>
      <c r="H7" s="1"/>
      <c r="I7" s="1">
        <f t="shared" si="0"/>
        <v>0.25794684220208403</v>
      </c>
      <c r="J7" s="1">
        <v>0.25800000000000001</v>
      </c>
      <c r="K7" s="9">
        <f t="shared" si="3"/>
        <v>-5.3157797915981408E-5</v>
      </c>
      <c r="L7" s="1"/>
      <c r="N7">
        <v>0</v>
      </c>
      <c r="R7">
        <v>0</v>
      </c>
      <c r="V7">
        <v>0</v>
      </c>
      <c r="Z7">
        <v>1.8779999999999999</v>
      </c>
      <c r="AD7">
        <v>1.5089999999999999</v>
      </c>
      <c r="AH7">
        <v>2.8279999999999998</v>
      </c>
      <c r="AK7" s="1"/>
      <c r="AL7" s="1"/>
      <c r="AM7" s="1"/>
      <c r="AN7" s="3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4"/>
      <c r="BV7">
        <v>-5.0000000000000001E-3</v>
      </c>
      <c r="BW7" s="7"/>
      <c r="BX7" s="1"/>
      <c r="BY7" s="1"/>
      <c r="BZ7" s="1"/>
      <c r="CA7" s="1"/>
      <c r="CB7" s="1"/>
    </row>
    <row r="8" spans="1:80" x14ac:dyDescent="0.3">
      <c r="A8" s="10">
        <v>-0.29399999999999998</v>
      </c>
      <c r="B8" s="11">
        <v>6.9000000000000006E-2</v>
      </c>
      <c r="C8" s="12">
        <v>-0.94499999999999995</v>
      </c>
      <c r="D8" s="1"/>
      <c r="E8" s="1">
        <f t="shared" si="1"/>
        <v>0.99207963390042431</v>
      </c>
      <c r="F8" s="1">
        <v>0.99199999999999999</v>
      </c>
      <c r="G8" s="9">
        <f t="shared" si="2"/>
        <v>7.9633900424314064E-5</v>
      </c>
      <c r="H8" s="1"/>
      <c r="I8" s="1">
        <f t="shared" si="0"/>
        <v>0.26763489862376388</v>
      </c>
      <c r="J8" s="1">
        <v>0.26800000000000002</v>
      </c>
      <c r="K8" s="9">
        <f t="shared" si="3"/>
        <v>-3.6510137623613215E-4</v>
      </c>
      <c r="L8" s="1"/>
      <c r="N8">
        <v>0</v>
      </c>
      <c r="R8">
        <v>0</v>
      </c>
      <c r="V8">
        <v>0</v>
      </c>
      <c r="Z8">
        <v>1.8720000000000001</v>
      </c>
      <c r="AD8">
        <v>1.5009999999999999</v>
      </c>
      <c r="AH8">
        <v>2.8319999999999999</v>
      </c>
      <c r="AK8" s="1"/>
      <c r="AL8" s="1"/>
      <c r="AM8" s="1"/>
      <c r="AN8" s="3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4"/>
      <c r="BV8">
        <v>-1.0999999999999999E-2</v>
      </c>
      <c r="BW8" s="7"/>
      <c r="BX8" s="1"/>
      <c r="BY8" s="1"/>
      <c r="BZ8" s="1"/>
      <c r="CA8" s="1"/>
      <c r="CB8" s="1"/>
    </row>
    <row r="9" spans="1:80" x14ac:dyDescent="0.3">
      <c r="A9" s="10">
        <v>-0.29399999999999998</v>
      </c>
      <c r="B9" s="11">
        <v>6.8000000000000005E-2</v>
      </c>
      <c r="C9" s="12">
        <v>-0.94099999999999995</v>
      </c>
      <c r="D9" s="1"/>
      <c r="E9" s="1">
        <f t="shared" si="1"/>
        <v>0.98820089050759308</v>
      </c>
      <c r="F9" s="1">
        <v>0.98799999999999999</v>
      </c>
      <c r="G9" s="9">
        <f t="shared" si="2"/>
        <v>2.008905075930878E-4</v>
      </c>
      <c r="H9" s="1"/>
      <c r="I9" s="1">
        <f t="shared" si="0"/>
        <v>0.2659593659075592</v>
      </c>
      <c r="J9" s="1">
        <v>0.26600000000000001</v>
      </c>
      <c r="K9" s="9">
        <f t="shared" si="3"/>
        <v>-4.0634092440816616E-5</v>
      </c>
      <c r="L9" s="1"/>
      <c r="N9">
        <v>0</v>
      </c>
      <c r="R9">
        <v>0</v>
      </c>
      <c r="V9">
        <v>0</v>
      </c>
      <c r="Z9">
        <v>1.873</v>
      </c>
      <c r="AD9">
        <v>1.502</v>
      </c>
      <c r="AH9">
        <v>2.831</v>
      </c>
      <c r="AK9" s="1"/>
      <c r="AL9" s="1"/>
      <c r="AM9" s="1"/>
      <c r="AN9" s="3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4"/>
      <c r="BV9">
        <v>-5.0000000000000001E-3</v>
      </c>
      <c r="BW9" s="7"/>
      <c r="BX9" s="1"/>
      <c r="BY9" s="1"/>
      <c r="BZ9" s="1"/>
      <c r="CA9" s="1"/>
      <c r="CB9" s="1"/>
    </row>
    <row r="10" spans="1:80" x14ac:dyDescent="0.3">
      <c r="A10" s="10">
        <v>-0.29599999999999999</v>
      </c>
      <c r="B10" s="11">
        <v>6.9000000000000006E-2</v>
      </c>
      <c r="C10" s="12">
        <v>-0.94199999999999995</v>
      </c>
      <c r="D10" s="1"/>
      <c r="E10" s="1">
        <f t="shared" si="1"/>
        <v>0.98981867026238701</v>
      </c>
      <c r="F10" s="1">
        <v>0.99</v>
      </c>
      <c r="G10" s="9">
        <f t="shared" si="2"/>
        <v>-1.8132973761297855E-4</v>
      </c>
      <c r="H10" s="1"/>
      <c r="I10" s="1">
        <f t="shared" si="0"/>
        <v>0.26795625631925257</v>
      </c>
      <c r="J10" s="1">
        <v>0.26800000000000002</v>
      </c>
      <c r="K10" s="9">
        <f t="shared" si="3"/>
        <v>-4.3743680747443392E-5</v>
      </c>
      <c r="L10" s="1"/>
      <c r="N10">
        <v>0</v>
      </c>
      <c r="R10">
        <v>0</v>
      </c>
      <c r="V10">
        <v>0</v>
      </c>
      <c r="Z10">
        <v>1.8740000000000001</v>
      </c>
      <c r="AD10">
        <v>1.5009999999999999</v>
      </c>
      <c r="AH10">
        <v>2.8290000000000002</v>
      </c>
      <c r="AK10" s="1"/>
      <c r="AL10" s="1"/>
      <c r="AM10" s="1"/>
      <c r="AN10" s="3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4"/>
      <c r="BV10">
        <v>-2E-3</v>
      </c>
      <c r="BW10" s="7"/>
      <c r="BX10" s="1"/>
      <c r="BY10" s="1"/>
      <c r="BZ10" s="1"/>
      <c r="CA10" s="1"/>
      <c r="CB10" s="1"/>
    </row>
    <row r="11" spans="1:80" x14ac:dyDescent="0.3">
      <c r="A11" s="10">
        <v>-0.29799999999999999</v>
      </c>
      <c r="B11" s="11">
        <v>6.6000000000000003E-2</v>
      </c>
      <c r="C11" s="12">
        <v>-0.94</v>
      </c>
      <c r="D11" s="1"/>
      <c r="E11" s="1">
        <f t="shared" si="1"/>
        <v>0.98831169172483235</v>
      </c>
      <c r="F11" s="1">
        <v>0.98799999999999999</v>
      </c>
      <c r="G11" s="9">
        <f t="shared" si="2"/>
        <v>3.1169172483236363E-4</v>
      </c>
      <c r="H11" s="1"/>
      <c r="I11" s="1">
        <f t="shared" si="0"/>
        <v>0.26442104530280564</v>
      </c>
      <c r="J11" s="1">
        <v>0.26400000000000001</v>
      </c>
      <c r="K11" s="9">
        <f t="shared" si="3"/>
        <v>4.2104530280562269E-4</v>
      </c>
      <c r="L11" s="1"/>
      <c r="N11">
        <v>0</v>
      </c>
      <c r="R11">
        <v>0</v>
      </c>
      <c r="V11">
        <v>0</v>
      </c>
      <c r="Z11">
        <v>1.877</v>
      </c>
      <c r="AD11">
        <v>1.504</v>
      </c>
      <c r="AH11">
        <v>2.8279999999999998</v>
      </c>
      <c r="AK11" s="1"/>
      <c r="AL11" s="1"/>
      <c r="AM11" s="1"/>
      <c r="AN11" s="3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4"/>
      <c r="BV11">
        <v>6.0000000000000001E-3</v>
      </c>
      <c r="BW11" s="7"/>
      <c r="BX11" s="1"/>
      <c r="BY11" s="1"/>
      <c r="BZ11" s="1"/>
      <c r="CA11" s="1"/>
      <c r="CB11" s="1"/>
    </row>
    <row r="12" spans="1:80" x14ac:dyDescent="0.3">
      <c r="A12" s="10">
        <v>-0.29699999999999999</v>
      </c>
      <c r="B12" s="11">
        <v>6.4000000000000001E-2</v>
      </c>
      <c r="C12" s="12">
        <v>-0.94399999999999995</v>
      </c>
      <c r="D12" s="1"/>
      <c r="E12" s="1">
        <f t="shared" si="1"/>
        <v>0.99168593818809381</v>
      </c>
      <c r="F12" s="1">
        <v>0.99199999999999999</v>
      </c>
      <c r="G12" s="9">
        <f t="shared" si="2"/>
        <v>-3.1406181190618554E-4</v>
      </c>
      <c r="H12" s="1"/>
      <c r="I12" s="1">
        <f t="shared" si="0"/>
        <v>0.26179989771305601</v>
      </c>
      <c r="J12" s="1">
        <v>0.26200000000000001</v>
      </c>
      <c r="K12" s="9">
        <f t="shared" si="3"/>
        <v>-2.0010228694400389E-4</v>
      </c>
      <c r="L12" s="1"/>
      <c r="N12">
        <v>0</v>
      </c>
      <c r="R12">
        <v>0</v>
      </c>
      <c r="V12">
        <v>0</v>
      </c>
      <c r="Z12">
        <v>1.875</v>
      </c>
      <c r="AD12">
        <v>1.506</v>
      </c>
      <c r="AH12">
        <v>2.83</v>
      </c>
      <c r="AK12" s="1"/>
      <c r="AL12" s="1"/>
      <c r="AM12" s="1"/>
      <c r="AN12" s="3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4"/>
      <c r="BV12">
        <v>-0.02</v>
      </c>
      <c r="BW12" s="7"/>
      <c r="BX12" s="1"/>
      <c r="BY12" s="1"/>
      <c r="BZ12" s="1"/>
      <c r="CA12" s="1"/>
      <c r="CB12" s="1"/>
    </row>
    <row r="13" spans="1:8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1"/>
      <c r="AK13" s="1"/>
      <c r="AL13" s="1"/>
      <c r="AM13" s="1"/>
      <c r="AN13" s="3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4"/>
      <c r="BV13" s="1"/>
      <c r="BW13" s="7"/>
      <c r="BX13" s="1"/>
      <c r="BY13" s="1"/>
      <c r="BZ13" s="1"/>
      <c r="CA13" s="1"/>
      <c r="CB13" s="1"/>
    </row>
    <row r="14" spans="1:8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4"/>
      <c r="L14" s="1"/>
      <c r="M14" s="1"/>
      <c r="N14" s="1"/>
      <c r="O14" s="1"/>
      <c r="P14" s="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4"/>
      <c r="BB14" s="1"/>
      <c r="BC14" s="7"/>
      <c r="BD14" s="1"/>
      <c r="BE14" s="1"/>
      <c r="BF14" s="1"/>
      <c r="BG14" s="1"/>
      <c r="BH14" s="1"/>
    </row>
    <row r="15" spans="1:8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4"/>
      <c r="L15" s="1"/>
      <c r="M15" s="1"/>
      <c r="N15" s="1"/>
      <c r="O15" s="1"/>
      <c r="P15" s="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4"/>
      <c r="BB15" s="1"/>
      <c r="BC15" s="7"/>
      <c r="BD15" s="1"/>
      <c r="BE15" s="1"/>
      <c r="BF15" s="1"/>
      <c r="BG15" s="1"/>
      <c r="BH15" s="1"/>
    </row>
    <row r="16" spans="1:8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4"/>
      <c r="L16" s="1"/>
      <c r="M16" s="1"/>
      <c r="N16" s="1"/>
      <c r="O16" s="1"/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4"/>
      <c r="AX16" s="1"/>
      <c r="AY16" s="7"/>
      <c r="AZ16" s="1"/>
      <c r="BA16" s="1"/>
      <c r="BB16" s="1"/>
      <c r="BC16" s="1"/>
      <c r="BD16" s="1"/>
    </row>
    <row r="17" spans="1:5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4"/>
      <c r="L17" s="1"/>
      <c r="M17" s="1"/>
      <c r="N17" s="1"/>
      <c r="O17" s="1"/>
      <c r="P17" s="3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4"/>
      <c r="AX17" s="1"/>
      <c r="AY17" s="7"/>
      <c r="AZ17" s="1"/>
      <c r="BA17" s="1"/>
      <c r="BB17" s="1"/>
      <c r="BC17" s="1"/>
      <c r="BD17" s="1"/>
    </row>
    <row r="18" spans="1:5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4"/>
      <c r="L18" s="1"/>
      <c r="M18" s="1"/>
      <c r="N18" s="1"/>
      <c r="O18" s="1"/>
      <c r="P18" s="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4"/>
      <c r="AX18" s="1"/>
      <c r="AY18" s="7"/>
      <c r="AZ18" s="1"/>
      <c r="BA18" s="1"/>
      <c r="BB18" s="1"/>
      <c r="BC18" s="1"/>
      <c r="BD18" s="1"/>
    </row>
    <row r="19" spans="1:5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4"/>
      <c r="L19" s="1"/>
      <c r="M19" s="1"/>
      <c r="N19" s="1"/>
      <c r="O19" s="1"/>
      <c r="P19" s="3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4"/>
      <c r="AX19" s="1"/>
      <c r="AY19" s="7"/>
      <c r="AZ19" s="1"/>
      <c r="BA19" s="1"/>
      <c r="BB19" s="1"/>
      <c r="BC19" s="1"/>
      <c r="BD19" s="1"/>
    </row>
    <row r="20" spans="1:5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4"/>
      <c r="L20" s="1"/>
      <c r="M20" s="1"/>
      <c r="N20" s="1"/>
      <c r="O20" s="1"/>
      <c r="P20" s="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4"/>
      <c r="AX20" s="1"/>
      <c r="AY20" s="7"/>
      <c r="AZ20" s="1"/>
      <c r="BA20" s="1"/>
      <c r="BB20" s="1"/>
      <c r="BC20" s="1"/>
      <c r="BD20" s="1"/>
    </row>
    <row r="21" spans="1:5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4"/>
      <c r="L21" s="1"/>
      <c r="M21" s="1"/>
      <c r="N21" s="1"/>
      <c r="O21" s="1"/>
      <c r="P21" s="3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4"/>
      <c r="AX21" s="1"/>
      <c r="AY21" s="7"/>
      <c r="AZ21" s="1"/>
      <c r="BA21" s="1"/>
      <c r="BB21" s="1"/>
      <c r="BC21" s="1"/>
      <c r="BD21" s="1"/>
    </row>
    <row r="22" spans="1:5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4"/>
      <c r="L22" s="1"/>
      <c r="M22" s="1"/>
      <c r="N22" s="1"/>
      <c r="O22" s="1"/>
      <c r="P22" s="3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4"/>
      <c r="AX22" s="1"/>
      <c r="AY22" s="7"/>
      <c r="AZ22" s="1"/>
      <c r="BA22" s="1"/>
      <c r="BB22" s="1"/>
      <c r="BC22" s="1"/>
      <c r="BD22" s="1"/>
    </row>
    <row r="23" spans="1:5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4"/>
      <c r="L23" s="1"/>
      <c r="M23" s="1"/>
      <c r="N23" s="1"/>
      <c r="O23" s="1"/>
      <c r="P23" s="3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4"/>
      <c r="AX23" s="1"/>
      <c r="AY23" s="7"/>
      <c r="AZ23" s="1"/>
      <c r="BA23" s="1"/>
      <c r="BB23" s="1"/>
      <c r="BC23" s="1"/>
      <c r="BD23" s="1"/>
    </row>
    <row r="24" spans="1:5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4"/>
      <c r="L24" s="1"/>
      <c r="M24" s="1"/>
      <c r="N24" s="1"/>
      <c r="O24" s="1"/>
      <c r="P24" s="3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4"/>
      <c r="AX24" s="1"/>
      <c r="AY24" s="7"/>
      <c r="AZ24" s="1"/>
      <c r="BA24" s="1"/>
      <c r="BB24" s="1"/>
      <c r="BC24" s="1"/>
      <c r="BD24" s="1"/>
    </row>
    <row r="25" spans="1:5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4"/>
      <c r="L25" s="1"/>
      <c r="M25" s="1"/>
      <c r="N25" s="1"/>
      <c r="O25" s="1"/>
      <c r="P25" s="3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4"/>
      <c r="AX25" s="1"/>
      <c r="AY25" s="7"/>
      <c r="AZ25" s="1"/>
      <c r="BA25" s="1"/>
      <c r="BB25" s="1"/>
      <c r="BC25" s="1"/>
      <c r="BD25" s="1"/>
    </row>
    <row r="26" spans="1:5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4"/>
      <c r="L26" s="1"/>
      <c r="M26" s="1"/>
      <c r="N26" s="1"/>
      <c r="O26" s="1"/>
      <c r="P26" s="3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4"/>
      <c r="AX26" s="1"/>
      <c r="AY26" s="7"/>
      <c r="AZ26" s="1"/>
      <c r="BA26" s="1"/>
      <c r="BB26" s="1"/>
      <c r="BC26" s="1"/>
      <c r="BD26" s="1"/>
    </row>
    <row r="27" spans="1:5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4"/>
      <c r="L27" s="1"/>
      <c r="M27" s="1"/>
      <c r="N27" s="1"/>
      <c r="O27" s="1"/>
      <c r="P27" s="3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4"/>
      <c r="AX27" s="1"/>
      <c r="AY27" s="7"/>
      <c r="AZ27" s="1"/>
      <c r="BA27" s="1"/>
      <c r="BB27" s="1"/>
      <c r="BC27" s="1"/>
      <c r="BD27" s="1"/>
    </row>
    <row r="28" spans="1:5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4"/>
      <c r="L28" s="1"/>
      <c r="M28" s="1"/>
      <c r="N28" s="1"/>
      <c r="O28" s="1"/>
      <c r="P28" s="3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4"/>
      <c r="AX28" s="1"/>
      <c r="AY28" s="7"/>
      <c r="AZ28" s="1"/>
      <c r="BA28" s="1"/>
      <c r="BB28" s="1"/>
      <c r="BC28" s="1"/>
      <c r="BD28" s="1"/>
    </row>
    <row r="29" spans="1:5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4"/>
      <c r="L29" s="1"/>
      <c r="M29" s="1"/>
      <c r="N29" s="1"/>
      <c r="O29" s="1"/>
      <c r="P29" s="3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4"/>
      <c r="AX29" s="1"/>
      <c r="AY29" s="7"/>
      <c r="AZ29" s="1"/>
      <c r="BA29" s="1"/>
      <c r="BB29" s="1"/>
      <c r="BC29" s="1"/>
      <c r="BD29" s="1"/>
    </row>
    <row r="30" spans="1:5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4"/>
      <c r="L30" s="1"/>
      <c r="M30" s="1"/>
      <c r="N30" s="1"/>
      <c r="O30" s="1"/>
      <c r="P30" s="3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4"/>
      <c r="AX30" s="1"/>
      <c r="AY30" s="7"/>
      <c r="AZ30" s="1"/>
      <c r="BA30" s="1"/>
      <c r="BB30" s="1"/>
      <c r="BC30" s="1"/>
      <c r="BD30" s="1"/>
    </row>
    <row r="31" spans="1:5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4"/>
      <c r="L31" s="1"/>
      <c r="M31" s="1"/>
      <c r="N31" s="1"/>
      <c r="O31" s="1"/>
      <c r="P31" s="3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4"/>
      <c r="AX31" s="1"/>
      <c r="AY31" s="7"/>
      <c r="AZ31" s="1"/>
      <c r="BA31" s="1"/>
      <c r="BB31" s="1"/>
      <c r="BC31" s="1"/>
      <c r="BD31" s="1"/>
    </row>
    <row r="32" spans="1:5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4"/>
      <c r="L32" s="1"/>
      <c r="M32" s="1"/>
      <c r="N32" s="1"/>
      <c r="O32" s="1"/>
      <c r="P32" s="3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4"/>
      <c r="AX32" s="1"/>
      <c r="AY32" s="7"/>
      <c r="AZ32" s="1"/>
      <c r="BA32" s="1"/>
      <c r="BB32" s="1"/>
      <c r="BC32" s="1"/>
      <c r="BD32" s="1"/>
    </row>
    <row r="33" spans="1:5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4"/>
      <c r="L33" s="1"/>
      <c r="M33" s="1"/>
      <c r="N33" s="1"/>
      <c r="O33" s="1"/>
      <c r="P33" s="3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4"/>
      <c r="AX33" s="1"/>
      <c r="AY33" s="7"/>
      <c r="AZ33" s="1"/>
      <c r="BA33" s="1"/>
      <c r="BB33" s="1"/>
      <c r="BC33" s="1"/>
      <c r="BD33" s="1"/>
    </row>
    <row r="34" spans="1:5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4"/>
      <c r="AX34" s="1"/>
      <c r="AY34" s="7"/>
      <c r="AZ34" s="1"/>
      <c r="BA34" s="1"/>
      <c r="BB34" s="1"/>
      <c r="BC34" s="1"/>
      <c r="BD34" s="1"/>
    </row>
    <row r="35" spans="1:5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</sheetData>
  <mergeCells count="18">
    <mergeCell ref="BY1:CA1"/>
    <mergeCell ref="BE1:BG1"/>
    <mergeCell ref="Y1:AA1"/>
    <mergeCell ref="AC1:AE1"/>
    <mergeCell ref="BU1:BW1"/>
    <mergeCell ref="BI1:BK1"/>
    <mergeCell ref="BM1:BO1"/>
    <mergeCell ref="BQ1:BS1"/>
    <mergeCell ref="E1:G1"/>
    <mergeCell ref="I1:K1"/>
    <mergeCell ref="AO1:AQ1"/>
    <mergeCell ref="AS1:AU1"/>
    <mergeCell ref="AW1:AY1"/>
    <mergeCell ref="AG1:AI1"/>
    <mergeCell ref="AK1:AM1"/>
    <mergeCell ref="M1:O1"/>
    <mergeCell ref="Q1:S1"/>
    <mergeCell ref="U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ΑΧΙΛΛΙΟΣ ΠΙΤΣΙΛΚΑΣ</dc:creator>
  <cp:lastModifiedBy>Axilleas Pitsilkas</cp:lastModifiedBy>
  <dcterms:created xsi:type="dcterms:W3CDTF">2025-06-21T16:46:56Z</dcterms:created>
  <dcterms:modified xsi:type="dcterms:W3CDTF">2026-02-07T22:27:35Z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2026-02-07T20:56:16Z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813895cf-57ca-4fcd-ae33-b858dbf916e4</vt:lpwstr>
  </property>
  <property fmtid="{D5CDD505-2E9C-101B-9397-08002B2CF9AE}" pid="7" name="MSIP_Label_defa4170-0d19-0005-0004-bc88714345d2_ActionId">
    <vt:lpwstr>21548023-0db7-4308-8921-201ff4c6bf6a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