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3zn350-my.sharepoint.com/personal/axilpits_ns824g_onmicrosoft_com/Documents/PlatformIO/PlatformIO/Projects/bad-spine-wearable-1/Compare ESP vs PC/"/>
    </mc:Choice>
  </mc:AlternateContent>
  <xr:revisionPtr revIDLastSave="111" documentId="8_{D3B1A18C-87F8-449B-B64F-9EB70B6639B0}" xr6:coauthVersionLast="47" xr6:coauthVersionMax="47" xr10:uidLastSave="{85FE959E-053B-4AAC-836B-E6191E7773A4}"/>
  <bookViews>
    <workbookView xWindow="-108" yWindow="-108" windowWidth="23256" windowHeight="12456" xr2:uid="{925E18B0-4C29-496B-AC79-8E95804F7CE3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7" i="1"/>
  <c r="B12" i="1"/>
  <c r="B14" i="1" s="1"/>
  <c r="B18" i="1" s="1"/>
  <c r="B16" i="1" l="1"/>
</calcChain>
</file>

<file path=xl/sharedStrings.xml><?xml version="1.0" encoding="utf-8"?>
<sst xmlns="http://schemas.openxmlformats.org/spreadsheetml/2006/main" count="159" uniqueCount="84">
  <si>
    <t>PC</t>
  </si>
  <si>
    <t>ESP32</t>
  </si>
  <si>
    <t>diff</t>
  </si>
  <si>
    <t>Computation times (micro sec):</t>
  </si>
  <si>
    <t>SVM_a</t>
  </si>
  <si>
    <t>SVM_g</t>
  </si>
  <si>
    <t>CM_a</t>
  </si>
  <si>
    <t>CM_g</t>
  </si>
  <si>
    <t>jerk_x</t>
  </si>
  <si>
    <t>jerk_y</t>
  </si>
  <si>
    <t>jerk_z</t>
  </si>
  <si>
    <t>accl_x</t>
  </si>
  <si>
    <t>accl_y</t>
  </si>
  <si>
    <t>accl_z</t>
  </si>
  <si>
    <t>th_x</t>
  </si>
  <si>
    <t>th_y</t>
  </si>
  <si>
    <t>th_z</t>
  </si>
  <si>
    <t>ag_x_mean</t>
  </si>
  <si>
    <t>ag_x_max</t>
  </si>
  <si>
    <t>ag_x_min</t>
  </si>
  <si>
    <t>ag_y_mean</t>
  </si>
  <si>
    <t>ag_y_max</t>
  </si>
  <si>
    <t>ag_y_min</t>
  </si>
  <si>
    <t>ag_z_mean</t>
  </si>
  <si>
    <t>ag_z_max</t>
  </si>
  <si>
    <t>ag_z_min</t>
  </si>
  <si>
    <t>g_x_mean</t>
  </si>
  <si>
    <t>g_x_max</t>
  </si>
  <si>
    <t>g_x_min</t>
  </si>
  <si>
    <t>g_y_mean</t>
  </si>
  <si>
    <t>g_y_max</t>
  </si>
  <si>
    <t>g_y_min</t>
  </si>
  <si>
    <t>g_z_mean</t>
  </si>
  <si>
    <t>g_z_max</t>
  </si>
  <si>
    <t>g_z_min</t>
  </si>
  <si>
    <t>SMA_a</t>
  </si>
  <si>
    <t>SMA_g</t>
  </si>
  <si>
    <t>RMS_ag_x</t>
  </si>
  <si>
    <t>RMS_ag_y</t>
  </si>
  <si>
    <t>RMS_ag_z</t>
  </si>
  <si>
    <t>RMS_g_x</t>
  </si>
  <si>
    <t>RMS_g_y</t>
  </si>
  <si>
    <t>RMS_g_z</t>
  </si>
  <si>
    <t>MAD_ag_x</t>
  </si>
  <si>
    <t>MAD_ag_y</t>
  </si>
  <si>
    <t>MAD_ag_z</t>
  </si>
  <si>
    <t>MAD_g_x</t>
  </si>
  <si>
    <t>MAD_g_y</t>
  </si>
  <si>
    <t>MAD_g_z</t>
  </si>
  <si>
    <t>VAR_ag_x</t>
  </si>
  <si>
    <t>VAR_ag_y</t>
  </si>
  <si>
    <t>VAR_ag_z</t>
  </si>
  <si>
    <t>VAR_g_x</t>
  </si>
  <si>
    <t>VAR_g_y</t>
  </si>
  <si>
    <t>VAR_g_z</t>
  </si>
  <si>
    <t>STD_ag_x</t>
  </si>
  <si>
    <t>STD_ag_y</t>
  </si>
  <si>
    <t>STD_ag_z</t>
  </si>
  <si>
    <t>STD_g_x</t>
  </si>
  <si>
    <t>STD_g_y</t>
  </si>
  <si>
    <t>STD_g_z</t>
  </si>
  <si>
    <t>IQR_ag_x</t>
  </si>
  <si>
    <t>IQR_ag_y</t>
  </si>
  <si>
    <t>IQR_ag_z</t>
  </si>
  <si>
    <t>IQR_g_x</t>
  </si>
  <si>
    <t>IQR_g_y</t>
  </si>
  <si>
    <t>IQR_g_z</t>
  </si>
  <si>
    <t>FFT_ag_x</t>
  </si>
  <si>
    <t>FFT_ag_y</t>
  </si>
  <si>
    <t>FFT_ag_z</t>
  </si>
  <si>
    <t>FFT_g_x</t>
  </si>
  <si>
    <t>FFT_g_y</t>
  </si>
  <si>
    <t>FFT_g_z</t>
  </si>
  <si>
    <t>E_ag_x</t>
  </si>
  <si>
    <t>E_ag_y</t>
  </si>
  <si>
    <t>E_ag_z</t>
  </si>
  <si>
    <t>E_g_x</t>
  </si>
  <si>
    <t>E_g_y</t>
  </si>
  <si>
    <t>E_g_z</t>
  </si>
  <si>
    <t xml:space="preserve"> Total time in microseconds</t>
  </si>
  <si>
    <t xml:space="preserve">  Total time in milliseconds</t>
  </si>
  <si>
    <t>Compare with window assemble time</t>
  </si>
  <si>
    <t xml:space="preserve"> millis</t>
  </si>
  <si>
    <t>which means compare the time which we need to gather data for 1 window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</si>
</sst>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2">
    <cellStyle name="Κανονικό" xfId="0" builtinId="0"/>
    <cellStyle name="Ποσοστό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3A15B-0892-487C-B1B6-D7B8F51F55F4}">
  <dimension ref="A1:BZ284"/>
  <sheetViews>
    <sheetView tabSelected="1" workbookViewId="0">
      <selection activeCell="D21" sqref="D21"/>
    </sheetView>
  </sheetViews>
  <sheetFormatPr defaultRowHeight="14.4" x14ac:dyDescent="0.3"/>
  <cols>
    <col min="1" max="1" width="41.33203125" customWidth="1"/>
    <col min="2" max="2" width="14.33203125" customWidth="1"/>
    <col min="3" max="3" width="15.5546875" customWidth="1"/>
    <col min="4" max="4" width="12" customWidth="1"/>
  </cols>
  <sheetData>
    <row r="1" spans="1:78" x14ac:dyDescent="0.3">
      <c r="A1" s="1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25</v>
      </c>
      <c r="X1" s="2" t="s">
        <v>26</v>
      </c>
      <c r="Y1" s="2" t="s">
        <v>27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34</v>
      </c>
      <c r="AG1" s="2" t="s">
        <v>35</v>
      </c>
      <c r="AH1" s="2" t="s">
        <v>36</v>
      </c>
      <c r="AI1" s="2" t="s">
        <v>37</v>
      </c>
      <c r="AJ1" s="2" t="s">
        <v>38</v>
      </c>
      <c r="AK1" s="2" t="s">
        <v>39</v>
      </c>
      <c r="AL1" s="2" t="s">
        <v>40</v>
      </c>
      <c r="AM1" s="2" t="s">
        <v>41</v>
      </c>
      <c r="AN1" s="2" t="s">
        <v>42</v>
      </c>
      <c r="AO1" s="2" t="s">
        <v>43</v>
      </c>
      <c r="AP1" s="2" t="s">
        <v>44</v>
      </c>
      <c r="AQ1" s="2" t="s">
        <v>45</v>
      </c>
      <c r="AR1" s="2" t="s">
        <v>46</v>
      </c>
      <c r="AS1" s="2" t="s">
        <v>47</v>
      </c>
      <c r="AT1" s="2" t="s">
        <v>48</v>
      </c>
      <c r="AU1" s="2" t="s">
        <v>49</v>
      </c>
      <c r="AV1" s="2" t="s">
        <v>50</v>
      </c>
      <c r="AW1" s="2" t="s">
        <v>51</v>
      </c>
      <c r="AX1" s="2" t="s">
        <v>52</v>
      </c>
      <c r="AY1" s="2" t="s">
        <v>53</v>
      </c>
      <c r="AZ1" s="2" t="s">
        <v>54</v>
      </c>
      <c r="BA1" s="2" t="s">
        <v>55</v>
      </c>
      <c r="BB1" s="2" t="s">
        <v>56</v>
      </c>
      <c r="BC1" s="2" t="s">
        <v>57</v>
      </c>
      <c r="BD1" s="2" t="s">
        <v>58</v>
      </c>
      <c r="BE1" s="2" t="s">
        <v>59</v>
      </c>
      <c r="BF1" s="2" t="s">
        <v>60</v>
      </c>
      <c r="BG1" s="2" t="s">
        <v>61</v>
      </c>
      <c r="BH1" s="2" t="s">
        <v>62</v>
      </c>
      <c r="BI1" s="2" t="s">
        <v>63</v>
      </c>
      <c r="BJ1" s="2" t="s">
        <v>64</v>
      </c>
      <c r="BK1" s="2" t="s">
        <v>65</v>
      </c>
      <c r="BL1" s="2" t="s">
        <v>66</v>
      </c>
      <c r="BM1" s="2" t="s">
        <v>67</v>
      </c>
      <c r="BN1" s="2" t="s">
        <v>68</v>
      </c>
      <c r="BO1" s="2" t="s">
        <v>69</v>
      </c>
      <c r="BP1" s="2" t="s">
        <v>70</v>
      </c>
      <c r="BQ1" s="2" t="s">
        <v>71</v>
      </c>
      <c r="BR1" s="2" t="s">
        <v>72</v>
      </c>
      <c r="BS1" s="2" t="s">
        <v>73</v>
      </c>
      <c r="BT1" s="2" t="s">
        <v>74</v>
      </c>
      <c r="BU1" s="2" t="s">
        <v>75</v>
      </c>
      <c r="BV1" s="2" t="s">
        <v>76</v>
      </c>
      <c r="BW1" s="2" t="s">
        <v>77</v>
      </c>
      <c r="BX1" s="2" t="s">
        <v>78</v>
      </c>
      <c r="BY1" s="2"/>
      <c r="BZ1" s="2"/>
    </row>
    <row r="2" spans="1:78" x14ac:dyDescent="0.3">
      <c r="A2" s="2"/>
      <c r="B2" s="2">
        <v>0.98899999999999999</v>
      </c>
      <c r="C2" s="2">
        <v>2.5999999999999999E-2</v>
      </c>
      <c r="D2" s="2">
        <v>0.24099999999999999</v>
      </c>
      <c r="E2" s="2">
        <v>1.4E-2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1.8839999999999999</v>
      </c>
      <c r="M2" s="2">
        <v>1.5209999999999999</v>
      </c>
      <c r="N2" s="2">
        <v>2.8239999999999998</v>
      </c>
      <c r="O2" s="2">
        <v>-0.3</v>
      </c>
      <c r="P2" s="2">
        <v>-0.29399999999999998</v>
      </c>
      <c r="Q2" s="2">
        <v>-0.308</v>
      </c>
      <c r="R2" s="2">
        <v>6.0999999999999999E-2</v>
      </c>
      <c r="S2" s="2">
        <v>6.9000000000000006E-2</v>
      </c>
      <c r="T2" s="2">
        <v>4.9000000000000002E-2</v>
      </c>
      <c r="U2" s="2">
        <v>-0.94099999999999995</v>
      </c>
      <c r="V2" s="2">
        <v>-0.93799999999999994</v>
      </c>
      <c r="W2" s="2">
        <v>-0.94499999999999995</v>
      </c>
      <c r="X2" s="2">
        <v>-2.5999999999999999E-2</v>
      </c>
      <c r="Y2" s="2">
        <v>-1.4999999999999999E-2</v>
      </c>
      <c r="Z2" s="2">
        <v>-4.2999999999999997E-2</v>
      </c>
      <c r="AA2" s="2">
        <v>1.9E-2</v>
      </c>
      <c r="AB2" s="2">
        <v>3.1E-2</v>
      </c>
      <c r="AC2" s="2">
        <v>1.0999999999999999E-2</v>
      </c>
      <c r="AD2" s="2">
        <v>-1.4999999999999999E-2</v>
      </c>
      <c r="AE2" s="2">
        <v>-8.0000000000000002E-3</v>
      </c>
      <c r="AF2" s="2">
        <v>-2.3E-2</v>
      </c>
      <c r="AG2" s="2">
        <v>1.302</v>
      </c>
      <c r="AH2" s="2">
        <v>0.06</v>
      </c>
      <c r="AI2" s="2">
        <v>0.3</v>
      </c>
      <c r="AJ2" s="2">
        <v>6.0999999999999999E-2</v>
      </c>
      <c r="AK2" s="2">
        <v>0.94099999999999995</v>
      </c>
      <c r="AL2" s="2">
        <v>2.8000000000000001E-2</v>
      </c>
      <c r="AM2" s="2">
        <v>0.02</v>
      </c>
      <c r="AN2" s="2">
        <v>1.6E-2</v>
      </c>
      <c r="AO2" s="2">
        <v>4.0000000000000001E-3</v>
      </c>
      <c r="AP2" s="2">
        <v>7.0000000000000001E-3</v>
      </c>
      <c r="AQ2" s="2">
        <v>2E-3</v>
      </c>
      <c r="AR2" s="2">
        <v>0.01</v>
      </c>
      <c r="AS2" s="2">
        <v>7.0000000000000001E-3</v>
      </c>
      <c r="AT2" s="2">
        <v>5.0000000000000001E-3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5.0000000000000001E-3</v>
      </c>
      <c r="BB2" s="2">
        <v>7.0000000000000001E-3</v>
      </c>
      <c r="BC2" s="2">
        <v>2E-3</v>
      </c>
      <c r="BD2" s="2">
        <v>1.0999999999999999E-2</v>
      </c>
      <c r="BE2" s="2">
        <v>8.0000000000000002E-3</v>
      </c>
      <c r="BF2" s="2">
        <v>5.0000000000000001E-3</v>
      </c>
      <c r="BG2" s="2">
        <v>7.0000000000000001E-3</v>
      </c>
      <c r="BH2" s="2">
        <v>1.4E-2</v>
      </c>
      <c r="BI2" s="2">
        <v>2E-3</v>
      </c>
      <c r="BJ2" s="2">
        <v>1.7999999999999999E-2</v>
      </c>
      <c r="BK2" s="2">
        <v>1.2E-2</v>
      </c>
      <c r="BL2" s="2">
        <v>8.9999999999999993E-3</v>
      </c>
      <c r="BM2">
        <v>-0.02</v>
      </c>
      <c r="BN2">
        <v>-3.3000000000000002E-2</v>
      </c>
      <c r="BO2">
        <v>5.0000000000000001E-3</v>
      </c>
      <c r="BP2">
        <v>4.2000000000000003E-2</v>
      </c>
      <c r="BQ2">
        <v>-2.1999999999999999E-2</v>
      </c>
      <c r="BR2">
        <v>-0.02</v>
      </c>
      <c r="BS2" s="2">
        <v>0.89800000000000002</v>
      </c>
      <c r="BT2" s="2">
        <v>3.6999999999999998E-2</v>
      </c>
      <c r="BU2" s="2">
        <v>8.8620000000000001</v>
      </c>
      <c r="BV2" s="2">
        <v>8.0000000000000002E-3</v>
      </c>
      <c r="BW2" s="2">
        <v>4.0000000000000001E-3</v>
      </c>
      <c r="BX2" s="2">
        <v>3.0000000000000001E-3</v>
      </c>
      <c r="BY2" s="2"/>
      <c r="BZ2" s="2"/>
    </row>
    <row r="3" spans="1:78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</row>
    <row r="4" spans="1:78" x14ac:dyDescent="0.3">
      <c r="A4" s="1" t="s">
        <v>1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2" t="s">
        <v>15</v>
      </c>
      <c r="N4" s="2" t="s">
        <v>16</v>
      </c>
      <c r="O4" s="2" t="s">
        <v>17</v>
      </c>
      <c r="P4" s="2" t="s">
        <v>18</v>
      </c>
      <c r="Q4" s="2" t="s">
        <v>19</v>
      </c>
      <c r="R4" s="2" t="s">
        <v>20</v>
      </c>
      <c r="S4" s="2" t="s">
        <v>21</v>
      </c>
      <c r="T4" s="2" t="s">
        <v>22</v>
      </c>
      <c r="U4" s="2" t="s">
        <v>23</v>
      </c>
      <c r="V4" s="2" t="s">
        <v>24</v>
      </c>
      <c r="W4" s="2" t="s">
        <v>25</v>
      </c>
      <c r="X4" s="2" t="s">
        <v>26</v>
      </c>
      <c r="Y4" s="2" t="s">
        <v>27</v>
      </c>
      <c r="Z4" s="2" t="s">
        <v>28</v>
      </c>
      <c r="AA4" s="2" t="s">
        <v>29</v>
      </c>
      <c r="AB4" s="2" t="s">
        <v>30</v>
      </c>
      <c r="AC4" s="2" t="s">
        <v>31</v>
      </c>
      <c r="AD4" s="2" t="s">
        <v>32</v>
      </c>
      <c r="AE4" s="2" t="s">
        <v>33</v>
      </c>
      <c r="AF4" s="2" t="s">
        <v>34</v>
      </c>
      <c r="AG4" s="2" t="s">
        <v>35</v>
      </c>
      <c r="AH4" s="2" t="s">
        <v>36</v>
      </c>
      <c r="AI4" s="2" t="s">
        <v>37</v>
      </c>
      <c r="AJ4" s="2" t="s">
        <v>38</v>
      </c>
      <c r="AK4" s="2" t="s">
        <v>39</v>
      </c>
      <c r="AL4" s="2" t="s">
        <v>40</v>
      </c>
      <c r="AM4" s="2" t="s">
        <v>41</v>
      </c>
      <c r="AN4" s="2" t="s">
        <v>42</v>
      </c>
      <c r="AO4" s="2" t="s">
        <v>43</v>
      </c>
      <c r="AP4" s="2" t="s">
        <v>44</v>
      </c>
      <c r="AQ4" s="2" t="s">
        <v>45</v>
      </c>
      <c r="AR4" s="2" t="s">
        <v>46</v>
      </c>
      <c r="AS4" s="2" t="s">
        <v>47</v>
      </c>
      <c r="AT4" s="2" t="s">
        <v>48</v>
      </c>
      <c r="AU4" s="2" t="s">
        <v>49</v>
      </c>
      <c r="AV4" s="2" t="s">
        <v>50</v>
      </c>
      <c r="AW4" s="2" t="s">
        <v>51</v>
      </c>
      <c r="AX4" s="2" t="s">
        <v>52</v>
      </c>
      <c r="AY4" s="2" t="s">
        <v>53</v>
      </c>
      <c r="AZ4" s="2" t="s">
        <v>54</v>
      </c>
      <c r="BA4" s="2" t="s">
        <v>55</v>
      </c>
      <c r="BB4" s="2" t="s">
        <v>56</v>
      </c>
      <c r="BC4" s="2" t="s">
        <v>57</v>
      </c>
      <c r="BD4" s="2" t="s">
        <v>58</v>
      </c>
      <c r="BE4" s="2" t="s">
        <v>59</v>
      </c>
      <c r="BF4" s="2" t="s">
        <v>60</v>
      </c>
      <c r="BG4" s="2" t="s">
        <v>61</v>
      </c>
      <c r="BH4" s="2" t="s">
        <v>62</v>
      </c>
      <c r="BI4" s="2" t="s">
        <v>63</v>
      </c>
      <c r="BJ4" s="2" t="s">
        <v>64</v>
      </c>
      <c r="BK4" s="2" t="s">
        <v>65</v>
      </c>
      <c r="BL4" s="2" t="s">
        <v>66</v>
      </c>
      <c r="BM4" s="2" t="s">
        <v>67</v>
      </c>
      <c r="BN4" s="2" t="s">
        <v>68</v>
      </c>
      <c r="BO4" s="2" t="s">
        <v>69</v>
      </c>
      <c r="BP4" s="2" t="s">
        <v>70</v>
      </c>
      <c r="BQ4" s="2" t="s">
        <v>71</v>
      </c>
      <c r="BR4" s="2" t="s">
        <v>72</v>
      </c>
      <c r="BS4" s="2" t="s">
        <v>73</v>
      </c>
      <c r="BT4" s="2" t="s">
        <v>74</v>
      </c>
      <c r="BU4" s="2" t="s">
        <v>75</v>
      </c>
      <c r="BV4" s="2" t="s">
        <v>76</v>
      </c>
      <c r="BW4" s="2" t="s">
        <v>77</v>
      </c>
      <c r="BX4" s="2" t="s">
        <v>78</v>
      </c>
      <c r="BY4" s="2"/>
      <c r="BZ4" s="2"/>
    </row>
    <row r="5" spans="1:78" x14ac:dyDescent="0.3">
      <c r="A5" s="2"/>
      <c r="B5" s="2">
        <v>0.98899999999999999</v>
      </c>
      <c r="C5" s="2">
        <v>3.1E-2</v>
      </c>
      <c r="D5" s="2">
        <v>0.25900000000000001</v>
      </c>
      <c r="E5" s="2">
        <v>1.7000000000000001E-2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1.877</v>
      </c>
      <c r="M5" s="2">
        <v>1.508</v>
      </c>
      <c r="N5" s="2">
        <v>2.8279999999999998</v>
      </c>
      <c r="O5" s="2">
        <v>-0.3</v>
      </c>
      <c r="P5" s="2">
        <v>-0.29399999999999998</v>
      </c>
      <c r="Q5" s="2">
        <v>-0.308</v>
      </c>
      <c r="R5" s="2">
        <v>6.0999999999999999E-2</v>
      </c>
      <c r="S5" s="2">
        <v>6.9000000000000006E-2</v>
      </c>
      <c r="T5" s="2">
        <v>4.9000000000000002E-2</v>
      </c>
      <c r="U5" s="2">
        <v>-0.94099999999999995</v>
      </c>
      <c r="V5" s="2">
        <v>-0.93799999999999994</v>
      </c>
      <c r="W5" s="2">
        <v>-0.94499999999999995</v>
      </c>
      <c r="X5" s="2">
        <v>-2.5000000000000001E-2</v>
      </c>
      <c r="Y5" s="2">
        <v>-1.4999999999999999E-2</v>
      </c>
      <c r="Z5" s="2">
        <v>-4.2999999999999997E-2</v>
      </c>
      <c r="AA5" s="2">
        <v>1.9E-2</v>
      </c>
      <c r="AB5" s="2">
        <v>3.1E-2</v>
      </c>
      <c r="AC5">
        <v>1.0999999999999999E-2</v>
      </c>
      <c r="AD5">
        <v>-1.4999999999999999E-2</v>
      </c>
      <c r="AE5">
        <v>-8.0000000000000002E-3</v>
      </c>
      <c r="AF5">
        <v>-2.3E-2</v>
      </c>
      <c r="AG5">
        <v>1.304</v>
      </c>
      <c r="AH5">
        <v>5.2999999999999999E-2</v>
      </c>
      <c r="AI5">
        <v>0.3</v>
      </c>
      <c r="AJ5">
        <v>6.0999999999999999E-2</v>
      </c>
      <c r="AK5">
        <v>0.94099999999999995</v>
      </c>
      <c r="AL5">
        <v>2.8000000000000001E-2</v>
      </c>
      <c r="AM5">
        <v>0.02</v>
      </c>
      <c r="AN5">
        <v>1.6E-2</v>
      </c>
      <c r="AO5">
        <v>4.0000000000000001E-3</v>
      </c>
      <c r="AP5">
        <v>7.0000000000000001E-3</v>
      </c>
      <c r="AQ5">
        <v>2E-3</v>
      </c>
      <c r="AR5">
        <v>0.01</v>
      </c>
      <c r="AS5">
        <v>7.0000000000000001E-3</v>
      </c>
      <c r="AT5">
        <v>5.0000000000000001E-3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5.0000000000000001E-3</v>
      </c>
      <c r="BB5">
        <v>7.0000000000000001E-3</v>
      </c>
      <c r="BC5">
        <v>2E-3</v>
      </c>
      <c r="BD5">
        <v>1.0999999999999999E-2</v>
      </c>
      <c r="BE5">
        <v>8.0000000000000002E-3</v>
      </c>
      <c r="BF5">
        <v>5.0000000000000001E-3</v>
      </c>
      <c r="BG5">
        <v>8.0000000000000002E-3</v>
      </c>
      <c r="BH5">
        <v>1.2999999999999999E-2</v>
      </c>
      <c r="BI5">
        <v>2E-3</v>
      </c>
      <c r="BJ5">
        <v>1.7999999999999999E-2</v>
      </c>
      <c r="BK5">
        <v>1.0999999999999999E-2</v>
      </c>
      <c r="BL5">
        <v>8.9999999999999993E-3</v>
      </c>
      <c r="BM5">
        <v>-2.1999999999999999E-2</v>
      </c>
      <c r="BN5">
        <v>-3.3000000000000002E-2</v>
      </c>
      <c r="BO5">
        <v>5.0000000000000001E-3</v>
      </c>
      <c r="BP5">
        <v>4.2000000000000003E-2</v>
      </c>
      <c r="BQ5">
        <v>-2.1999999999999999E-2</v>
      </c>
      <c r="BR5">
        <v>-0.02</v>
      </c>
      <c r="BS5">
        <v>0.89900000000000002</v>
      </c>
      <c r="BT5">
        <v>3.7999999999999999E-2</v>
      </c>
      <c r="BU5">
        <v>8.8629999999999995</v>
      </c>
      <c r="BV5">
        <v>8.0000000000000002E-3</v>
      </c>
      <c r="BW5">
        <v>4.0000000000000001E-3</v>
      </c>
      <c r="BX5">
        <v>3.0000000000000001E-3</v>
      </c>
      <c r="BY5" s="2"/>
      <c r="BZ5" s="2"/>
    </row>
    <row r="6" spans="1:78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</row>
    <row r="7" spans="1:78" x14ac:dyDescent="0.3">
      <c r="A7" s="1" t="s">
        <v>2</v>
      </c>
      <c r="B7" s="2">
        <f>B2-B5</f>
        <v>0</v>
      </c>
      <c r="C7" s="2">
        <f t="shared" ref="C7:BN7" si="0">C2-C5</f>
        <v>-5.000000000000001E-3</v>
      </c>
      <c r="D7" s="2">
        <f t="shared" si="0"/>
        <v>-1.8000000000000016E-2</v>
      </c>
      <c r="E7" s="2">
        <f t="shared" si="0"/>
        <v>-3.0000000000000009E-3</v>
      </c>
      <c r="F7" s="2">
        <f t="shared" si="0"/>
        <v>0</v>
      </c>
      <c r="G7" s="2">
        <f t="shared" si="0"/>
        <v>0</v>
      </c>
      <c r="H7" s="2">
        <f t="shared" si="0"/>
        <v>0</v>
      </c>
      <c r="I7" s="2">
        <f t="shared" si="0"/>
        <v>0</v>
      </c>
      <c r="J7" s="2">
        <f t="shared" si="0"/>
        <v>0</v>
      </c>
      <c r="K7" s="2">
        <f t="shared" si="0"/>
        <v>0</v>
      </c>
      <c r="L7" s="2">
        <f t="shared" si="0"/>
        <v>6.9999999999998952E-3</v>
      </c>
      <c r="M7" s="2">
        <f t="shared" si="0"/>
        <v>1.2999999999999901E-2</v>
      </c>
      <c r="N7" s="2">
        <f t="shared" si="0"/>
        <v>-4.0000000000000036E-3</v>
      </c>
      <c r="O7" s="2">
        <f t="shared" si="0"/>
        <v>0</v>
      </c>
      <c r="P7" s="2">
        <f t="shared" si="0"/>
        <v>0</v>
      </c>
      <c r="Q7" s="2">
        <f t="shared" si="0"/>
        <v>0</v>
      </c>
      <c r="R7" s="2">
        <f t="shared" si="0"/>
        <v>0</v>
      </c>
      <c r="S7" s="2">
        <f t="shared" si="0"/>
        <v>0</v>
      </c>
      <c r="T7" s="2">
        <f t="shared" si="0"/>
        <v>0</v>
      </c>
      <c r="U7" s="2">
        <f t="shared" si="0"/>
        <v>0</v>
      </c>
      <c r="V7" s="2">
        <f t="shared" si="0"/>
        <v>0</v>
      </c>
      <c r="W7" s="2">
        <f t="shared" si="0"/>
        <v>0</v>
      </c>
      <c r="X7" s="2">
        <f t="shared" si="0"/>
        <v>-9.9999999999999742E-4</v>
      </c>
      <c r="Y7" s="2">
        <f t="shared" si="0"/>
        <v>0</v>
      </c>
      <c r="Z7" s="2">
        <f t="shared" si="0"/>
        <v>0</v>
      </c>
      <c r="AA7" s="2">
        <f t="shared" si="0"/>
        <v>0</v>
      </c>
      <c r="AB7" s="2">
        <f t="shared" si="0"/>
        <v>0</v>
      </c>
      <c r="AC7" s="2">
        <f t="shared" si="0"/>
        <v>0</v>
      </c>
      <c r="AD7" s="2">
        <f t="shared" si="0"/>
        <v>0</v>
      </c>
      <c r="AE7" s="2">
        <f t="shared" si="0"/>
        <v>0</v>
      </c>
      <c r="AF7" s="2">
        <f t="shared" si="0"/>
        <v>0</v>
      </c>
      <c r="AG7" s="2">
        <f t="shared" si="0"/>
        <v>-2.0000000000000018E-3</v>
      </c>
      <c r="AH7" s="2">
        <f t="shared" si="0"/>
        <v>6.9999999999999993E-3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si="0"/>
        <v>0</v>
      </c>
      <c r="AZ7" s="2">
        <f t="shared" si="0"/>
        <v>0</v>
      </c>
      <c r="BA7" s="2">
        <f t="shared" si="0"/>
        <v>0</v>
      </c>
      <c r="BB7" s="2">
        <f t="shared" si="0"/>
        <v>0</v>
      </c>
      <c r="BC7" s="2">
        <f t="shared" si="0"/>
        <v>0</v>
      </c>
      <c r="BD7" s="2">
        <f t="shared" si="0"/>
        <v>0</v>
      </c>
      <c r="BE7" s="2">
        <f t="shared" si="0"/>
        <v>0</v>
      </c>
      <c r="BF7" s="2">
        <f t="shared" si="0"/>
        <v>0</v>
      </c>
      <c r="BG7" s="2">
        <f t="shared" si="0"/>
        <v>-1E-3</v>
      </c>
      <c r="BH7" s="2">
        <f t="shared" si="0"/>
        <v>1.0000000000000009E-3</v>
      </c>
      <c r="BI7" s="2">
        <f t="shared" si="0"/>
        <v>0</v>
      </c>
      <c r="BJ7" s="2">
        <f t="shared" si="0"/>
        <v>0</v>
      </c>
      <c r="BK7" s="2">
        <f t="shared" si="0"/>
        <v>1.0000000000000009E-3</v>
      </c>
      <c r="BL7" s="2">
        <f t="shared" si="0"/>
        <v>0</v>
      </c>
      <c r="BM7" s="2">
        <f t="shared" si="0"/>
        <v>1.9999999999999983E-3</v>
      </c>
      <c r="BN7" s="2">
        <f t="shared" si="0"/>
        <v>0</v>
      </c>
      <c r="BO7" s="2">
        <f t="shared" ref="BO7:BX7" si="1">BO2-BO5</f>
        <v>0</v>
      </c>
      <c r="BP7" s="2">
        <f t="shared" si="1"/>
        <v>0</v>
      </c>
      <c r="BQ7" s="2">
        <f t="shared" si="1"/>
        <v>0</v>
      </c>
      <c r="BR7" s="2">
        <f t="shared" si="1"/>
        <v>0</v>
      </c>
      <c r="BS7" s="2">
        <f t="shared" si="1"/>
        <v>-1.0000000000000009E-3</v>
      </c>
      <c r="BT7" s="2">
        <f t="shared" si="1"/>
        <v>-1.0000000000000009E-3</v>
      </c>
      <c r="BU7" s="2">
        <f t="shared" si="1"/>
        <v>-9.9999999999944578E-4</v>
      </c>
      <c r="BV7" s="2">
        <f t="shared" si="1"/>
        <v>0</v>
      </c>
      <c r="BW7" s="2">
        <f t="shared" si="1"/>
        <v>0</v>
      </c>
      <c r="BX7" s="2">
        <f t="shared" si="1"/>
        <v>0</v>
      </c>
      <c r="BY7" s="2"/>
      <c r="BZ7" s="2"/>
    </row>
    <row r="8" spans="1:78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</row>
    <row r="9" spans="1:78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</row>
    <row r="10" spans="1:78" x14ac:dyDescent="0.3">
      <c r="A10" s="1" t="s">
        <v>3</v>
      </c>
      <c r="B10" s="2">
        <v>93</v>
      </c>
      <c r="C10" s="2">
        <v>13</v>
      </c>
      <c r="D10" s="2">
        <v>304</v>
      </c>
      <c r="E10" s="2">
        <v>38</v>
      </c>
      <c r="F10" s="2">
        <v>14</v>
      </c>
      <c r="G10" s="2">
        <v>2</v>
      </c>
      <c r="H10" s="2">
        <v>1</v>
      </c>
      <c r="I10" s="2">
        <v>6</v>
      </c>
      <c r="J10" s="2">
        <v>6</v>
      </c>
      <c r="K10" s="2">
        <v>2</v>
      </c>
      <c r="L10" s="2">
        <v>53.332999999999998</v>
      </c>
      <c r="M10" s="2">
        <v>53.332999999999998</v>
      </c>
      <c r="N10" s="2">
        <v>53.332999999999998</v>
      </c>
      <c r="O10" s="2">
        <v>18</v>
      </c>
      <c r="P10" s="2">
        <v>9</v>
      </c>
      <c r="Q10" s="2">
        <v>13</v>
      </c>
      <c r="R10" s="2">
        <v>1</v>
      </c>
      <c r="S10" s="2">
        <v>1</v>
      </c>
      <c r="T10" s="2">
        <v>5</v>
      </c>
      <c r="U10" s="2">
        <v>1</v>
      </c>
      <c r="V10" s="2">
        <v>1</v>
      </c>
      <c r="W10" s="2">
        <v>5</v>
      </c>
      <c r="X10" s="2">
        <v>5</v>
      </c>
      <c r="Y10" s="2">
        <v>1</v>
      </c>
      <c r="Z10" s="2">
        <v>5</v>
      </c>
      <c r="AA10" s="2">
        <v>5</v>
      </c>
      <c r="AB10" s="2">
        <v>1</v>
      </c>
      <c r="AC10">
        <v>1</v>
      </c>
      <c r="AD10">
        <v>5</v>
      </c>
      <c r="AE10">
        <v>1</v>
      </c>
      <c r="AF10">
        <v>1</v>
      </c>
      <c r="AG10">
        <v>33</v>
      </c>
      <c r="AH10">
        <v>9</v>
      </c>
      <c r="AI10">
        <v>9</v>
      </c>
      <c r="AJ10">
        <v>1</v>
      </c>
      <c r="AK10">
        <v>5</v>
      </c>
      <c r="AL10">
        <v>10</v>
      </c>
      <c r="AM10">
        <v>1</v>
      </c>
      <c r="AN10">
        <v>5</v>
      </c>
      <c r="AO10">
        <v>18</v>
      </c>
      <c r="AP10">
        <v>3</v>
      </c>
      <c r="AQ10">
        <v>6</v>
      </c>
      <c r="AR10">
        <v>6</v>
      </c>
      <c r="AS10">
        <v>2</v>
      </c>
      <c r="AT10">
        <v>2</v>
      </c>
      <c r="AU10">
        <v>14</v>
      </c>
      <c r="AV10">
        <v>2</v>
      </c>
      <c r="AW10">
        <v>2</v>
      </c>
      <c r="AX10">
        <v>6</v>
      </c>
      <c r="AY10">
        <v>6</v>
      </c>
      <c r="AZ10">
        <v>2</v>
      </c>
      <c r="BA10">
        <v>6</v>
      </c>
      <c r="BB10">
        <v>7</v>
      </c>
      <c r="BC10">
        <v>3</v>
      </c>
      <c r="BD10">
        <v>3</v>
      </c>
      <c r="BE10">
        <v>7</v>
      </c>
      <c r="BF10">
        <v>3</v>
      </c>
      <c r="BG10">
        <v>69</v>
      </c>
      <c r="BH10">
        <v>8</v>
      </c>
      <c r="BI10">
        <v>6</v>
      </c>
      <c r="BJ10">
        <v>6</v>
      </c>
      <c r="BK10">
        <v>10</v>
      </c>
      <c r="BL10">
        <v>12</v>
      </c>
      <c r="BM10">
        <v>623</v>
      </c>
      <c r="BN10">
        <v>392</v>
      </c>
      <c r="BO10">
        <v>385</v>
      </c>
      <c r="BP10">
        <v>393</v>
      </c>
      <c r="BQ10">
        <v>385</v>
      </c>
      <c r="BR10">
        <v>389</v>
      </c>
      <c r="BS10">
        <v>431</v>
      </c>
      <c r="BT10">
        <v>400</v>
      </c>
      <c r="BU10">
        <v>404</v>
      </c>
      <c r="BV10">
        <v>400</v>
      </c>
      <c r="BW10">
        <v>401</v>
      </c>
      <c r="BX10">
        <v>408</v>
      </c>
      <c r="BY10" s="2"/>
      <c r="BZ10" s="2"/>
    </row>
    <row r="11" spans="1:78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</row>
    <row r="12" spans="1:78" x14ac:dyDescent="0.3">
      <c r="A12" s="1" t="s">
        <v>79</v>
      </c>
      <c r="B12" s="2">
        <f xml:space="preserve"> SUM(B10:BX10)</f>
        <v>6010.9989999999998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</row>
    <row r="13" spans="1:78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</row>
    <row r="14" spans="1:78" x14ac:dyDescent="0.3">
      <c r="A14" s="1" t="s">
        <v>80</v>
      </c>
      <c r="B14" s="3">
        <f>B12/1000</f>
        <v>6.010999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</row>
    <row r="15" spans="1:78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</row>
    <row r="16" spans="1:78" x14ac:dyDescent="0.3">
      <c r="A16" s="1" t="s">
        <v>81</v>
      </c>
      <c r="B16" s="2">
        <f>$B$14/(10*103)</f>
        <v>5.8359213592233013E-3</v>
      </c>
      <c r="C16" s="2" t="s">
        <v>82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</row>
    <row r="17" spans="1:78" x14ac:dyDescent="0.3">
      <c r="A17" s="5" t="s">
        <v>83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</row>
    <row r="18" spans="1:78" x14ac:dyDescent="0.3">
      <c r="A18" s="5"/>
      <c r="B18" s="4">
        <f>$B$14/(10*103)</f>
        <v>5.8359213592233013E-3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</row>
    <row r="19" spans="1:78" x14ac:dyDescent="0.3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spans="1:78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spans="1:78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78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78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78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78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78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78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78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78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78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78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78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</sheetData>
  <mergeCells count="1">
    <mergeCell ref="A17:A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ΑΧΙΛΛΙΟΣ ΠΙΤΣΙΛΚΑΣ</dc:creator>
  <cp:lastModifiedBy>Axilleas Pitsilkas</cp:lastModifiedBy>
  <dcterms:created xsi:type="dcterms:W3CDTF">2025-09-01T15:06:50Z</dcterms:created>
  <dcterms:modified xsi:type="dcterms:W3CDTF">2026-02-07T23:04:15Z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2026-02-07T22:28:52Z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813895cf-57ca-4fcd-ae33-b858dbf916e4</vt:lpwstr>
  </property>
  <property fmtid="{D5CDD505-2E9C-101B-9397-08002B2CF9AE}" pid="7" name="MSIP_Label_defa4170-0d19-0005-0004-bc88714345d2_ActionId">
    <vt:lpwstr>9dd40003-ec8f-4ae4-a468-5cbf187bbdd7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