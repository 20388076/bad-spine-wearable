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zn350-my.sharepoint.com/personal/axilpits_ns824g_onmicrosoft_com/Documents/PlatformIO/PlatformIO/Projects/bad-spine-wearable-1/Compare ESP vs PC/"/>
    </mc:Choice>
  </mc:AlternateContent>
  <xr:revisionPtr revIDLastSave="754" documentId="8_{D3B1A18C-87F8-449B-B64F-9EB70B6639B0}" xr6:coauthVersionLast="47" xr6:coauthVersionMax="47" xr10:uidLastSave="{E2DDA215-4347-44B4-BAB3-4ED2AB0C8AFB}"/>
  <bookViews>
    <workbookView xWindow="-108" yWindow="-108" windowWidth="23256" windowHeight="12456" xr2:uid="{925E18B0-4C29-496B-AC79-8E95804F7CE3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9" i="1"/>
  <c r="B40" i="1"/>
  <c r="B41" i="1"/>
  <c r="B42" i="1"/>
  <c r="B43" i="1"/>
  <c r="B44" i="1"/>
  <c r="B50" i="1" s="1"/>
  <c r="B45" i="1"/>
  <c r="B46" i="1"/>
  <c r="B4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Z50" i="1" s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F50" i="1" s="1"/>
  <c r="BG38" i="1"/>
  <c r="BH38" i="1"/>
  <c r="BI38" i="1"/>
  <c r="BJ38" i="1"/>
  <c r="BK38" i="1"/>
  <c r="BL38" i="1"/>
  <c r="BM38" i="1"/>
  <c r="BN38" i="1"/>
  <c r="BO38" i="1"/>
  <c r="BP38" i="1"/>
  <c r="BQ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Y50" i="1" s="1"/>
  <c r="Z39" i="1"/>
  <c r="AA39" i="1"/>
  <c r="AB39" i="1"/>
  <c r="AC39" i="1"/>
  <c r="AD39" i="1"/>
  <c r="AE39" i="1"/>
  <c r="AE50" i="1" s="1"/>
  <c r="AF39" i="1"/>
  <c r="AG39" i="1"/>
  <c r="AH39" i="1"/>
  <c r="AI39" i="1"/>
  <c r="AJ39" i="1"/>
  <c r="AK39" i="1"/>
  <c r="AL39" i="1"/>
  <c r="AM39" i="1"/>
  <c r="AN39" i="1"/>
  <c r="AO39" i="1"/>
  <c r="AO50" i="1" s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C50" i="1" s="1"/>
  <c r="BD39" i="1"/>
  <c r="BE39" i="1"/>
  <c r="BE50" i="1" s="1"/>
  <c r="BF39" i="1"/>
  <c r="BG39" i="1"/>
  <c r="BH39" i="1"/>
  <c r="BI39" i="1"/>
  <c r="BJ39" i="1"/>
  <c r="BK39" i="1"/>
  <c r="BK50" i="1" s="1"/>
  <c r="BL39" i="1"/>
  <c r="BM39" i="1"/>
  <c r="BN39" i="1"/>
  <c r="BO39" i="1"/>
  <c r="BP39" i="1"/>
  <c r="BQ39" i="1"/>
  <c r="C40" i="1"/>
  <c r="D40" i="1"/>
  <c r="D50" i="1" s="1"/>
  <c r="E40" i="1"/>
  <c r="F40" i="1"/>
  <c r="G40" i="1"/>
  <c r="H40" i="1"/>
  <c r="I40" i="1"/>
  <c r="J40" i="1"/>
  <c r="K40" i="1"/>
  <c r="L40" i="1"/>
  <c r="M40" i="1"/>
  <c r="N40" i="1"/>
  <c r="N50" i="1" s="1"/>
  <c r="O40" i="1"/>
  <c r="P40" i="1"/>
  <c r="Q40" i="1"/>
  <c r="R40" i="1"/>
  <c r="S40" i="1"/>
  <c r="T40" i="1"/>
  <c r="T50" i="1" s="1"/>
  <c r="U40" i="1"/>
  <c r="V40" i="1"/>
  <c r="W40" i="1"/>
  <c r="X40" i="1"/>
  <c r="Y40" i="1"/>
  <c r="Z40" i="1"/>
  <c r="AA40" i="1"/>
  <c r="AB40" i="1"/>
  <c r="AC40" i="1"/>
  <c r="AD40" i="1"/>
  <c r="AD50" i="1" s="1"/>
  <c r="AE40" i="1"/>
  <c r="AF40" i="1"/>
  <c r="AG40" i="1"/>
  <c r="AH40" i="1"/>
  <c r="AI40" i="1"/>
  <c r="AJ40" i="1"/>
  <c r="AJ50" i="1" s="1"/>
  <c r="AK40" i="1"/>
  <c r="AL40" i="1"/>
  <c r="AM40" i="1"/>
  <c r="AN40" i="1"/>
  <c r="AO40" i="1"/>
  <c r="AP40" i="1"/>
  <c r="AQ40" i="1"/>
  <c r="AR40" i="1"/>
  <c r="AS40" i="1"/>
  <c r="AT40" i="1"/>
  <c r="AT50" i="1" s="1"/>
  <c r="AU40" i="1"/>
  <c r="AV40" i="1"/>
  <c r="AW40" i="1"/>
  <c r="AX40" i="1"/>
  <c r="AY40" i="1"/>
  <c r="AZ40" i="1"/>
  <c r="BA40" i="1"/>
  <c r="BB40" i="1"/>
  <c r="BC40" i="1"/>
  <c r="BD40" i="1"/>
  <c r="BD50" i="1" s="1"/>
  <c r="BE40" i="1"/>
  <c r="BF40" i="1"/>
  <c r="BG40" i="1"/>
  <c r="BH40" i="1"/>
  <c r="BH50" i="1" s="1"/>
  <c r="BI40" i="1"/>
  <c r="BJ40" i="1"/>
  <c r="BK40" i="1"/>
  <c r="BL40" i="1"/>
  <c r="BM40" i="1"/>
  <c r="BN40" i="1"/>
  <c r="BO40" i="1"/>
  <c r="BP40" i="1"/>
  <c r="BQ40" i="1"/>
  <c r="C41" i="1"/>
  <c r="D41" i="1"/>
  <c r="E41" i="1"/>
  <c r="E50" i="1" s="1"/>
  <c r="F41" i="1"/>
  <c r="G41" i="1"/>
  <c r="H41" i="1"/>
  <c r="I41" i="1"/>
  <c r="J41" i="1"/>
  <c r="K41" i="1"/>
  <c r="L41" i="1"/>
  <c r="M41" i="1"/>
  <c r="N41" i="1"/>
  <c r="O41" i="1"/>
  <c r="P41" i="1"/>
  <c r="Q41" i="1"/>
  <c r="Q50" i="1" s="1"/>
  <c r="R41" i="1"/>
  <c r="S41" i="1"/>
  <c r="S50" i="1" s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G50" i="1" s="1"/>
  <c r="AH41" i="1"/>
  <c r="AI41" i="1"/>
  <c r="AI50" i="1" s="1"/>
  <c r="AJ41" i="1"/>
  <c r="AK41" i="1"/>
  <c r="AK50" i="1" s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G50" i="1" s="1"/>
  <c r="BH41" i="1"/>
  <c r="BI41" i="1"/>
  <c r="BJ41" i="1"/>
  <c r="BK41" i="1"/>
  <c r="BL41" i="1"/>
  <c r="BM41" i="1"/>
  <c r="BM50" i="1" s="1"/>
  <c r="BN41" i="1"/>
  <c r="BO41" i="1"/>
  <c r="BP41" i="1"/>
  <c r="BQ41" i="1"/>
  <c r="BQ50" i="1" s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P50" i="1" s="1"/>
  <c r="Q42" i="1"/>
  <c r="R42" i="1"/>
  <c r="S42" i="1"/>
  <c r="T42" i="1"/>
  <c r="U42" i="1"/>
  <c r="V42" i="1"/>
  <c r="V50" i="1" s="1"/>
  <c r="W42" i="1"/>
  <c r="X42" i="1"/>
  <c r="X50" i="1" s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L50" i="1" s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B50" i="1" s="1"/>
  <c r="BC42" i="1"/>
  <c r="BD42" i="1"/>
  <c r="BE42" i="1"/>
  <c r="BF42" i="1"/>
  <c r="BG42" i="1"/>
  <c r="BH42" i="1"/>
  <c r="BI42" i="1"/>
  <c r="BJ42" i="1"/>
  <c r="BK42" i="1"/>
  <c r="BL42" i="1"/>
  <c r="BL50" i="1" s="1"/>
  <c r="BM42" i="1"/>
  <c r="BN42" i="1"/>
  <c r="BO42" i="1"/>
  <c r="BP42" i="1"/>
  <c r="BQ42" i="1"/>
  <c r="C43" i="1"/>
  <c r="C50" i="1" s="1"/>
  <c r="D43" i="1"/>
  <c r="E43" i="1"/>
  <c r="F43" i="1"/>
  <c r="G43" i="1"/>
  <c r="H43" i="1"/>
  <c r="I43" i="1"/>
  <c r="J43" i="1"/>
  <c r="K43" i="1"/>
  <c r="L43" i="1"/>
  <c r="M43" i="1"/>
  <c r="M50" i="1" s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A50" i="1" s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Q50" i="1" s="1"/>
  <c r="AR43" i="1"/>
  <c r="AS43" i="1"/>
  <c r="AT43" i="1"/>
  <c r="AU43" i="1"/>
  <c r="AV43" i="1"/>
  <c r="AW43" i="1"/>
  <c r="AX43" i="1"/>
  <c r="AY43" i="1"/>
  <c r="AZ43" i="1"/>
  <c r="BA43" i="1"/>
  <c r="BA50" i="1" s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O50" i="1" s="1"/>
  <c r="BP43" i="1"/>
  <c r="BQ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F50" i="1" s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U50" i="1" s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S50" i="1" s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R50" i="1" s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P50" i="1" s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O50" i="1" s="1"/>
  <c r="P47" i="1"/>
  <c r="Q47" i="1"/>
  <c r="R47" i="1"/>
  <c r="S47" i="1"/>
  <c r="T47" i="1"/>
  <c r="U47" i="1"/>
  <c r="V47" i="1"/>
  <c r="W47" i="1"/>
  <c r="W50" i="1" s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38" i="1"/>
  <c r="I50" i="1"/>
  <c r="J50" i="1"/>
  <c r="AH50" i="1"/>
  <c r="AW50" i="1"/>
  <c r="AX50" i="1"/>
  <c r="BN50" i="1"/>
  <c r="AM50" i="1"/>
  <c r="BJ50" i="1"/>
  <c r="L50" i="1"/>
  <c r="AB50" i="1"/>
  <c r="AR50" i="1"/>
  <c r="BP50" i="1"/>
  <c r="AC50" i="1"/>
  <c r="BI50" i="1"/>
  <c r="B77" i="1"/>
  <c r="B75" i="1"/>
  <c r="F50" i="1"/>
  <c r="G50" i="1"/>
  <c r="H50" i="1"/>
  <c r="K50" i="1"/>
  <c r="AN50" i="1"/>
  <c r="AU50" i="1"/>
  <c r="AV50" i="1"/>
  <c r="AY50" i="1"/>
  <c r="AZ50" i="1"/>
  <c r="BR50" i="1"/>
  <c r="BS50" i="1"/>
  <c r="BT50" i="1"/>
  <c r="BU50" i="1"/>
  <c r="BV50" i="1"/>
  <c r="BW50" i="1"/>
  <c r="BX50" i="1"/>
  <c r="B73" i="1"/>
  <c r="B63" i="1"/>
  <c r="B64" i="1"/>
  <c r="B65" i="1"/>
  <c r="B66" i="1"/>
  <c r="B67" i="1"/>
  <c r="B68" i="1"/>
  <c r="B69" i="1"/>
  <c r="B70" i="1"/>
  <c r="B71" i="1"/>
  <c r="B62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R47" i="1" s="1"/>
  <c r="BS34" i="1"/>
  <c r="BS47" i="1" s="1"/>
  <c r="BT34" i="1"/>
  <c r="BT47" i="1" s="1"/>
  <c r="BU34" i="1"/>
  <c r="BU47" i="1" s="1"/>
  <c r="BV34" i="1"/>
  <c r="BV47" i="1" s="1"/>
  <c r="BW34" i="1"/>
  <c r="BW47" i="1" s="1"/>
  <c r="BX34" i="1"/>
  <c r="BX47" i="1" s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R39" i="1" s="1"/>
  <c r="BS26" i="1"/>
  <c r="BS39" i="1" s="1"/>
  <c r="BT26" i="1"/>
  <c r="BT39" i="1" s="1"/>
  <c r="BU26" i="1"/>
  <c r="BU39" i="1" s="1"/>
  <c r="BV26" i="1"/>
  <c r="BV39" i="1" s="1"/>
  <c r="BW26" i="1"/>
  <c r="BW39" i="1" s="1"/>
  <c r="BX26" i="1"/>
  <c r="BX39" i="1" s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R40" i="1" s="1"/>
  <c r="BS27" i="1"/>
  <c r="BS40" i="1" s="1"/>
  <c r="BT27" i="1"/>
  <c r="BT40" i="1" s="1"/>
  <c r="BU27" i="1"/>
  <c r="BU40" i="1" s="1"/>
  <c r="BV27" i="1"/>
  <c r="BV40" i="1" s="1"/>
  <c r="BW27" i="1"/>
  <c r="BW40" i="1" s="1"/>
  <c r="BX27" i="1"/>
  <c r="BX40" i="1" s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R41" i="1" s="1"/>
  <c r="BS28" i="1"/>
  <c r="BS41" i="1" s="1"/>
  <c r="BT28" i="1"/>
  <c r="BT41" i="1" s="1"/>
  <c r="BU28" i="1"/>
  <c r="BU41" i="1" s="1"/>
  <c r="BV28" i="1"/>
  <c r="BV41" i="1" s="1"/>
  <c r="BW28" i="1"/>
  <c r="BW41" i="1" s="1"/>
  <c r="BX28" i="1"/>
  <c r="BX41" i="1" s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R42" i="1" s="1"/>
  <c r="BS29" i="1"/>
  <c r="BS42" i="1" s="1"/>
  <c r="BT29" i="1"/>
  <c r="BT42" i="1" s="1"/>
  <c r="BU29" i="1"/>
  <c r="BU42" i="1" s="1"/>
  <c r="BV29" i="1"/>
  <c r="BV42" i="1" s="1"/>
  <c r="BW29" i="1"/>
  <c r="BW42" i="1" s="1"/>
  <c r="BX29" i="1"/>
  <c r="BX42" i="1" s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R43" i="1" s="1"/>
  <c r="BS30" i="1"/>
  <c r="BS43" i="1" s="1"/>
  <c r="BT30" i="1"/>
  <c r="BT43" i="1" s="1"/>
  <c r="BU30" i="1"/>
  <c r="BU43" i="1" s="1"/>
  <c r="BV30" i="1"/>
  <c r="BV43" i="1" s="1"/>
  <c r="BW30" i="1"/>
  <c r="BW43" i="1" s="1"/>
  <c r="BX30" i="1"/>
  <c r="BX43" i="1" s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R44" i="1" s="1"/>
  <c r="BS31" i="1"/>
  <c r="BS44" i="1" s="1"/>
  <c r="BT31" i="1"/>
  <c r="BT44" i="1" s="1"/>
  <c r="BU31" i="1"/>
  <c r="BU44" i="1" s="1"/>
  <c r="BV31" i="1"/>
  <c r="BV44" i="1" s="1"/>
  <c r="BW31" i="1"/>
  <c r="BW44" i="1" s="1"/>
  <c r="BX31" i="1"/>
  <c r="BX44" i="1" s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R45" i="1" s="1"/>
  <c r="BS32" i="1"/>
  <c r="BS45" i="1" s="1"/>
  <c r="BT32" i="1"/>
  <c r="BT45" i="1" s="1"/>
  <c r="BU32" i="1"/>
  <c r="BU45" i="1" s="1"/>
  <c r="BV32" i="1"/>
  <c r="BV45" i="1" s="1"/>
  <c r="BW32" i="1"/>
  <c r="BW45" i="1" s="1"/>
  <c r="BX32" i="1"/>
  <c r="BX45" i="1" s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R46" i="1" s="1"/>
  <c r="BS33" i="1"/>
  <c r="BS46" i="1" s="1"/>
  <c r="BT33" i="1"/>
  <c r="BT46" i="1" s="1"/>
  <c r="BU33" i="1"/>
  <c r="BU46" i="1" s="1"/>
  <c r="BV33" i="1"/>
  <c r="BV46" i="1" s="1"/>
  <c r="BW33" i="1"/>
  <c r="BW46" i="1" s="1"/>
  <c r="BX33" i="1"/>
  <c r="BX46" i="1" s="1"/>
  <c r="C25" i="1"/>
  <c r="D25" i="1"/>
  <c r="E25" i="1"/>
  <c r="F25" i="1"/>
  <c r="F49" i="1" s="1"/>
  <c r="G25" i="1"/>
  <c r="G49" i="1" s="1"/>
  <c r="H25" i="1"/>
  <c r="H49" i="1" s="1"/>
  <c r="I25" i="1"/>
  <c r="J25" i="1"/>
  <c r="K25" i="1"/>
  <c r="K49" i="1" s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U49" i="1" s="1"/>
  <c r="AV25" i="1"/>
  <c r="AV49" i="1" s="1"/>
  <c r="AW25" i="1"/>
  <c r="AX25" i="1"/>
  <c r="AY25" i="1"/>
  <c r="AY49" i="1" s="1"/>
  <c r="AZ25" i="1"/>
  <c r="AZ49" i="1" s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S38" i="1" s="1"/>
  <c r="BT25" i="1"/>
  <c r="BT38" i="1" s="1"/>
  <c r="BU25" i="1"/>
  <c r="BV25" i="1"/>
  <c r="BV38" i="1" s="1"/>
  <c r="BW25" i="1"/>
  <c r="BW38" i="1" s="1"/>
  <c r="BX25" i="1"/>
  <c r="BX38" i="1" s="1"/>
  <c r="B25" i="1"/>
  <c r="AX49" i="1" l="1"/>
  <c r="J49" i="1"/>
  <c r="AW49" i="1"/>
  <c r="BN49" i="1"/>
  <c r="BF49" i="1"/>
  <c r="BV49" i="1"/>
  <c r="AP49" i="1"/>
  <c r="AH49" i="1"/>
  <c r="Z49" i="1"/>
  <c r="R49" i="1"/>
  <c r="BX49" i="1"/>
  <c r="AJ49" i="1"/>
  <c r="BG49" i="1"/>
  <c r="AI49" i="1"/>
  <c r="AR49" i="1"/>
  <c r="S49" i="1"/>
  <c r="AG49" i="1"/>
  <c r="AB49" i="1"/>
  <c r="BT49" i="1"/>
  <c r="BD49" i="1"/>
  <c r="AF49" i="1"/>
  <c r="P49" i="1"/>
  <c r="BH49" i="1"/>
  <c r="L49" i="1"/>
  <c r="C49" i="1"/>
  <c r="BL49" i="1"/>
  <c r="AN49" i="1"/>
  <c r="X49" i="1"/>
  <c r="BS49" i="1"/>
  <c r="BK49" i="1"/>
  <c r="BC49" i="1"/>
  <c r="AM49" i="1"/>
  <c r="AE49" i="1"/>
  <c r="W49" i="1"/>
  <c r="O49" i="1"/>
  <c r="BP49" i="1"/>
  <c r="D49" i="1"/>
  <c r="BO49" i="1"/>
  <c r="AQ49" i="1"/>
  <c r="BR49" i="1"/>
  <c r="BJ49" i="1"/>
  <c r="BB49" i="1"/>
  <c r="AT49" i="1"/>
  <c r="AL49" i="1"/>
  <c r="AD49" i="1"/>
  <c r="V49" i="1"/>
  <c r="N49" i="1"/>
  <c r="T49" i="1"/>
  <c r="BW49" i="1"/>
  <c r="AA49" i="1"/>
  <c r="B49" i="1"/>
  <c r="BQ49" i="1"/>
  <c r="BI49" i="1"/>
  <c r="BA49" i="1"/>
  <c r="AS49" i="1"/>
  <c r="AK49" i="1"/>
  <c r="AC49" i="1"/>
  <c r="U49" i="1"/>
  <c r="M49" i="1"/>
  <c r="E49" i="1"/>
  <c r="Q36" i="1"/>
  <c r="AG36" i="1"/>
  <c r="Q49" i="1"/>
  <c r="BU36" i="1"/>
  <c r="AW36" i="1"/>
  <c r="AO36" i="1"/>
  <c r="Y36" i="1"/>
  <c r="I36" i="1"/>
  <c r="BE36" i="1"/>
  <c r="BU38" i="1"/>
  <c r="BU49" i="1" s="1"/>
  <c r="AO49" i="1"/>
  <c r="I49" i="1"/>
  <c r="BM36" i="1"/>
  <c r="BM49" i="1"/>
  <c r="BW36" i="1"/>
  <c r="BG36" i="1"/>
  <c r="AY36" i="1"/>
  <c r="AI36" i="1"/>
  <c r="AA36" i="1"/>
  <c r="S36" i="1"/>
  <c r="C36" i="1"/>
  <c r="BR36" i="1"/>
  <c r="BJ36" i="1"/>
  <c r="BB36" i="1"/>
  <c r="AT36" i="1"/>
  <c r="AL36" i="1"/>
  <c r="AD36" i="1"/>
  <c r="V36" i="1"/>
  <c r="N36" i="1"/>
  <c r="F36" i="1"/>
  <c r="BO36" i="1"/>
  <c r="AQ36" i="1"/>
  <c r="K36" i="1"/>
  <c r="BE49" i="1"/>
  <c r="Y49" i="1"/>
  <c r="BH36" i="1"/>
  <c r="AR36" i="1"/>
  <c r="AB36" i="1"/>
  <c r="L36" i="1"/>
  <c r="BS36" i="1"/>
  <c r="BC36" i="1"/>
  <c r="AU36" i="1"/>
  <c r="AM36" i="1"/>
  <c r="W36" i="1"/>
  <c r="O36" i="1"/>
  <c r="G36" i="1"/>
  <c r="BV36" i="1"/>
  <c r="BN36" i="1"/>
  <c r="BF36" i="1"/>
  <c r="AX36" i="1"/>
  <c r="AP36" i="1"/>
  <c r="AH36" i="1"/>
  <c r="Z36" i="1"/>
  <c r="R36" i="1"/>
  <c r="J36" i="1"/>
  <c r="B36" i="1"/>
  <c r="BQ36" i="1"/>
  <c r="BI36" i="1"/>
  <c r="BA36" i="1"/>
  <c r="AS36" i="1"/>
  <c r="AK36" i="1"/>
  <c r="AC36" i="1"/>
  <c r="U36" i="1"/>
  <c r="M36" i="1"/>
  <c r="E36" i="1"/>
  <c r="BT36" i="1"/>
  <c r="BL36" i="1"/>
  <c r="BD36" i="1"/>
  <c r="AV36" i="1"/>
  <c r="AN36" i="1"/>
  <c r="X36" i="1"/>
  <c r="BX36" i="1"/>
  <c r="BP36" i="1"/>
  <c r="AZ36" i="1"/>
  <c r="AJ36" i="1"/>
  <c r="T36" i="1"/>
  <c r="D36" i="1"/>
  <c r="BK36" i="1"/>
  <c r="AE36" i="1"/>
  <c r="P36" i="1"/>
  <c r="AF36" i="1"/>
  <c r="H36" i="1"/>
</calcChain>
</file>

<file path=xl/sharedStrings.xml><?xml version="1.0" encoding="utf-8"?>
<sst xmlns="http://schemas.openxmlformats.org/spreadsheetml/2006/main" count="165" uniqueCount="90">
  <si>
    <t>PC</t>
  </si>
  <si>
    <t>ESP32</t>
  </si>
  <si>
    <t>Computation times (micro sec):</t>
  </si>
  <si>
    <t>SVM_a</t>
  </si>
  <si>
    <t>SVM_g</t>
  </si>
  <si>
    <t>CM_a</t>
  </si>
  <si>
    <t>CM_g</t>
  </si>
  <si>
    <t>jerk_x</t>
  </si>
  <si>
    <t>jerk_y</t>
  </si>
  <si>
    <t>jerk_z</t>
  </si>
  <si>
    <t>accl_x</t>
  </si>
  <si>
    <t>accl_y</t>
  </si>
  <si>
    <t>accl_z</t>
  </si>
  <si>
    <t>th_x</t>
  </si>
  <si>
    <t>th_y</t>
  </si>
  <si>
    <t>th_z</t>
  </si>
  <si>
    <t>ag_x_mean</t>
  </si>
  <si>
    <t>ag_x_max</t>
  </si>
  <si>
    <t>ag_x_min</t>
  </si>
  <si>
    <t>ag_y_mean</t>
  </si>
  <si>
    <t>ag_y_max</t>
  </si>
  <si>
    <t>ag_y_min</t>
  </si>
  <si>
    <t>ag_z_mean</t>
  </si>
  <si>
    <t>ag_z_max</t>
  </si>
  <si>
    <t>ag_z_min</t>
  </si>
  <si>
    <t>g_x_mean</t>
  </si>
  <si>
    <t>g_x_max</t>
  </si>
  <si>
    <t>g_x_min</t>
  </si>
  <si>
    <t>g_y_mean</t>
  </si>
  <si>
    <t>g_y_max</t>
  </si>
  <si>
    <t>g_y_min</t>
  </si>
  <si>
    <t>g_z_mean</t>
  </si>
  <si>
    <t>g_z_max</t>
  </si>
  <si>
    <t>g_z_min</t>
  </si>
  <si>
    <t>SMA_a</t>
  </si>
  <si>
    <t>SMA_g</t>
  </si>
  <si>
    <t>RMS_ag_x</t>
  </si>
  <si>
    <t>RMS_ag_y</t>
  </si>
  <si>
    <t>RMS_ag_z</t>
  </si>
  <si>
    <t>RMS_g_x</t>
  </si>
  <si>
    <t>RMS_g_y</t>
  </si>
  <si>
    <t>RMS_g_z</t>
  </si>
  <si>
    <t>MAD_ag_x</t>
  </si>
  <si>
    <t>MAD_ag_y</t>
  </si>
  <si>
    <t>MAD_ag_z</t>
  </si>
  <si>
    <t>MAD_g_x</t>
  </si>
  <si>
    <t>MAD_g_y</t>
  </si>
  <si>
    <t>MAD_g_z</t>
  </si>
  <si>
    <t>VAR_ag_x</t>
  </si>
  <si>
    <t>VAR_ag_y</t>
  </si>
  <si>
    <t>VAR_ag_z</t>
  </si>
  <si>
    <t>VAR_g_x</t>
  </si>
  <si>
    <t>VAR_g_y</t>
  </si>
  <si>
    <t>VAR_g_z</t>
  </si>
  <si>
    <t>STD_ag_x</t>
  </si>
  <si>
    <t>STD_ag_y</t>
  </si>
  <si>
    <t>STD_ag_z</t>
  </si>
  <si>
    <t>STD_g_x</t>
  </si>
  <si>
    <t>STD_g_y</t>
  </si>
  <si>
    <t>STD_g_z</t>
  </si>
  <si>
    <t>IQR_ag_x</t>
  </si>
  <si>
    <t>IQR_ag_y</t>
  </si>
  <si>
    <t>IQR_ag_z</t>
  </si>
  <si>
    <t>IQR_g_x</t>
  </si>
  <si>
    <t>IQR_g_y</t>
  </si>
  <si>
    <t>IQR_g_z</t>
  </si>
  <si>
    <t>FFT_ag_x</t>
  </si>
  <si>
    <t>FFT_ag_y</t>
  </si>
  <si>
    <t>FFT_ag_z</t>
  </si>
  <si>
    <t>FFT_g_x</t>
  </si>
  <si>
    <t>FFT_g_y</t>
  </si>
  <si>
    <t>FFT_g_z</t>
  </si>
  <si>
    <t>E_ag_x</t>
  </si>
  <si>
    <t>E_ag_y</t>
  </si>
  <si>
    <t>E_ag_z</t>
  </si>
  <si>
    <t>E_g_x</t>
  </si>
  <si>
    <t>E_g_y</t>
  </si>
  <si>
    <t>E_g_z</t>
  </si>
  <si>
    <t xml:space="preserve"> Total time in microseconds</t>
  </si>
  <si>
    <t xml:space="preserve"> millis</t>
  </si>
  <si>
    <t>which means compare with the time which we need to gather data for 1 window</t>
  </si>
  <si>
    <t>window</t>
  </si>
  <si>
    <t>measurements</t>
  </si>
  <si>
    <t>Compare with window assemble time (in milliseconds)</t>
  </si>
  <si>
    <t>differences</t>
  </si>
  <si>
    <t>mean differece</t>
  </si>
  <si>
    <t>Mean  Total time in milliseconds</t>
  </si>
  <si>
    <t>Mean information loss  (%)</t>
  </si>
  <si>
    <t>information loss  (%)</t>
  </si>
  <si>
    <t xml:space="preserve">Std information loss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</si>
</sst>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</cellXfs>
  <cellStyles count="2">
    <cellStyle name="Κανονικό" xfId="0" builtinId="0"/>
    <cellStyle name="Ποσοστό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u="none"/>
              <a:t>Μέση Απώλεια</a:t>
            </a:r>
            <a:r>
              <a:rPr lang="el-GR" sz="1400" u="none" baseline="0"/>
              <a:t> Πληροφορίας ανά χαρατηριστικό από τον Η/Υ στο </a:t>
            </a:r>
            <a:r>
              <a:rPr lang="en-US" sz="1400" u="none" baseline="0"/>
              <a:t>ESP32</a:t>
            </a:r>
            <a:r>
              <a:rPr lang="el-GR" sz="1400" u="none" baseline="0"/>
              <a:t> </a:t>
            </a:r>
            <a:endParaRPr lang="el-GR" sz="1400" u="none"/>
          </a:p>
        </c:rich>
      </c:tx>
      <c:layout>
        <c:manualLayout>
          <c:xMode val="edge"/>
          <c:yMode val="edge"/>
          <c:x val="0.20691413573303338"/>
          <c:y val="8.892103067017775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15"/>
      <c:rotY val="2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>
          <a:softEdge rad="0"/>
        </a:effectLst>
        <a:sp3d/>
      </c:spPr>
    </c:sideWall>
    <c:backWall>
      <c:thickness val="0"/>
      <c:spPr>
        <a:noFill/>
        <a:ln>
          <a:noFill/>
        </a:ln>
        <a:effectLst>
          <a:softEdge rad="0"/>
        </a:effectLst>
        <a:sp3d/>
      </c:spPr>
    </c:backWall>
    <c:plotArea>
      <c:layout>
        <c:manualLayout>
          <c:layoutTarget val="inner"/>
          <c:xMode val="edge"/>
          <c:yMode val="edge"/>
          <c:x val="0.12641909047083402"/>
          <c:y val="8.1985108121781336E-2"/>
          <c:w val="0.85463195671969572"/>
          <c:h val="0.73548387794194592"/>
        </c:manualLayout>
      </c:layout>
      <c:bar3DChart>
        <c:barDir val="col"/>
        <c:grouping val="clustered"/>
        <c:varyColors val="1"/>
        <c:ser>
          <c:idx val="0"/>
          <c:order val="0"/>
          <c:tx>
            <c:strRef>
              <c:f>Φύλλο1!$B$49:$BX$49</c:f>
              <c:strCache>
                <c:ptCount val="75"/>
                <c:pt idx="0">
                  <c:v>-0.020</c:v>
                </c:pt>
                <c:pt idx="1">
                  <c:v>-0.452</c:v>
                </c:pt>
                <c:pt idx="2">
                  <c:v>-0.117</c:v>
                </c:pt>
                <c:pt idx="3">
                  <c:v>0.556</c:v>
                </c:pt>
                <c:pt idx="4">
                  <c:v>#ΔΙΑΙΡ/0!</c:v>
                </c:pt>
                <c:pt idx="5">
                  <c:v>#ΔΙΑΙΡ/0!</c:v>
                </c:pt>
                <c:pt idx="6">
                  <c:v>#ΔΙΑΙΡ/0!</c:v>
                </c:pt>
                <c:pt idx="7">
                  <c:v>#ΔΙΑΙΡ/0!</c:v>
                </c:pt>
                <c:pt idx="8">
                  <c:v>#ΔΙΑΙΡ/0!</c:v>
                </c:pt>
                <c:pt idx="9">
                  <c:v>#ΔΙΑΙΡ/0!</c:v>
                </c:pt>
                <c:pt idx="10">
                  <c:v>0.006</c:v>
                </c:pt>
                <c:pt idx="11">
                  <c:v>0.000</c:v>
                </c:pt>
                <c:pt idx="12">
                  <c:v>0.000</c:v>
                </c:pt>
                <c:pt idx="13">
                  <c:v>0.000</c:v>
                </c:pt>
                <c:pt idx="14">
                  <c:v>0.000</c:v>
                </c:pt>
                <c:pt idx="15">
                  <c:v>0.000</c:v>
                </c:pt>
                <c:pt idx="16">
                  <c:v>-0.499</c:v>
                </c:pt>
                <c:pt idx="17">
                  <c:v>0.000</c:v>
                </c:pt>
                <c:pt idx="18">
                  <c:v>0.000</c:v>
                </c:pt>
                <c:pt idx="19">
                  <c:v>0.000</c:v>
                </c:pt>
                <c:pt idx="20">
                  <c:v>0.000</c:v>
                </c:pt>
                <c:pt idx="21">
                  <c:v>0.000</c:v>
                </c:pt>
                <c:pt idx="22">
                  <c:v>0.385</c:v>
                </c:pt>
                <c:pt idx="23">
                  <c:v>0.000</c:v>
                </c:pt>
                <c:pt idx="24">
                  <c:v>0.000</c:v>
                </c:pt>
                <c:pt idx="25">
                  <c:v>0.500</c:v>
                </c:pt>
                <c:pt idx="26">
                  <c:v>0.000</c:v>
                </c:pt>
                <c:pt idx="27">
                  <c:v>0.000</c:v>
                </c:pt>
                <c:pt idx="28">
                  <c:v>0.000</c:v>
                </c:pt>
                <c:pt idx="29">
                  <c:v>0.000</c:v>
                </c:pt>
                <c:pt idx="30">
                  <c:v>0.000</c:v>
                </c:pt>
                <c:pt idx="31">
                  <c:v>0.000</c:v>
                </c:pt>
                <c:pt idx="32">
                  <c:v>0.083</c:v>
                </c:pt>
                <c:pt idx="33">
                  <c:v>0.000</c:v>
                </c:pt>
                <c:pt idx="34">
                  <c:v>0.000</c:v>
                </c:pt>
                <c:pt idx="35">
                  <c:v>0.000</c:v>
                </c:pt>
                <c:pt idx="36">
                  <c:v>0.000</c:v>
                </c:pt>
                <c:pt idx="37">
                  <c:v>0.000</c:v>
                </c:pt>
                <c:pt idx="38">
                  <c:v>0.000</c:v>
                </c:pt>
                <c:pt idx="39">
                  <c:v>4.333</c:v>
                </c:pt>
                <c:pt idx="40">
                  <c:v>0.000</c:v>
                </c:pt>
                <c:pt idx="41">
                  <c:v>0.000</c:v>
                </c:pt>
                <c:pt idx="42">
                  <c:v>0.000</c:v>
                </c:pt>
                <c:pt idx="43">
                  <c:v>0.000</c:v>
                </c:pt>
                <c:pt idx="44">
                  <c:v>0.000</c:v>
                </c:pt>
                <c:pt idx="45">
                  <c:v>#ΔΙΑΙΡ/0!</c:v>
                </c:pt>
                <c:pt idx="46">
                  <c:v>#ΔΙΑΙΡ/0!</c:v>
                </c:pt>
                <c:pt idx="47">
                  <c:v>#ΔΙΑΙΡ/0!</c:v>
                </c:pt>
                <c:pt idx="48">
                  <c:v>#ΔΙΑΙΡ/0!</c:v>
                </c:pt>
                <c:pt idx="49">
                  <c:v>#ΔΙΑΙΡ/0!</c:v>
                </c:pt>
                <c:pt idx="50">
                  <c:v>#ΔΙΑΙΡ/0!</c:v>
                </c:pt>
                <c:pt idx="51">
                  <c:v>-1.731</c:v>
                </c:pt>
                <c:pt idx="52">
                  <c:v>1.667</c:v>
                </c:pt>
                <c:pt idx="53">
                  <c:v>0.909</c:v>
                </c:pt>
                <c:pt idx="54">
                  <c:v>0.000</c:v>
                </c:pt>
                <c:pt idx="55">
                  <c:v>0.000</c:v>
                </c:pt>
                <c:pt idx="56">
                  <c:v>0.000</c:v>
                </c:pt>
                <c:pt idx="57">
                  <c:v>3.571</c:v>
                </c:pt>
                <c:pt idx="58">
                  <c:v>1.815</c:v>
                </c:pt>
                <c:pt idx="59">
                  <c:v>0.064</c:v>
                </c:pt>
                <c:pt idx="60">
                  <c:v>-0.179</c:v>
                </c:pt>
                <c:pt idx="61">
                  <c:v>-0.167</c:v>
                </c:pt>
                <c:pt idx="62">
                  <c:v>0.000</c:v>
                </c:pt>
                <c:pt idx="63">
                  <c:v>#ΔΙΑΙΡ/0!</c:v>
                </c:pt>
                <c:pt idx="64">
                  <c:v>0.119</c:v>
                </c:pt>
                <c:pt idx="65">
                  <c:v>-2.358</c:v>
                </c:pt>
                <c:pt idx="66">
                  <c:v>0.000</c:v>
                </c:pt>
                <c:pt idx="67">
                  <c:v>0.000</c:v>
                </c:pt>
                <c:pt idx="68">
                  <c:v>0.000</c:v>
                </c:pt>
                <c:pt idx="69">
                  <c:v>0.004</c:v>
                </c:pt>
                <c:pt idx="70">
                  <c:v>-1.179</c:v>
                </c:pt>
                <c:pt idx="71">
                  <c:v>0.003</c:v>
                </c:pt>
                <c:pt idx="72">
                  <c:v>0.000</c:v>
                </c:pt>
                <c:pt idx="73">
                  <c:v>0.000</c:v>
                </c:pt>
                <c:pt idx="74">
                  <c:v>0.000</c:v>
                </c:pt>
              </c:strCache>
            </c:strRef>
          </c:tx>
          <c:spPr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706-4F02-99CC-9D0E0A08EFB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2-172A-4AAD-9A53-45E55E7A0E6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706-4F02-99CC-9D0E0A08EFB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706-4F02-99CC-9D0E0A08EFB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706-4F02-99CC-9D0E0A08EFB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706-4F02-99CC-9D0E0A08EFB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1706-4F02-99CC-9D0E0A08EFB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1706-4F02-99CC-9D0E0A08EFB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1706-4F02-99CC-9D0E0A08EFB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1706-4F02-99CC-9D0E0A08EFB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1706-4F02-99CC-9D0E0A08EFB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1706-4F02-99CC-9D0E0A08EFB9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1706-4F02-99CC-9D0E0A08EFB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B-1706-4F02-99CC-9D0E0A08EFB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D-1706-4F02-99CC-9D0E0A08EFB9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F-1706-4F02-99CC-9D0E0A08EFB9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1-1706-4F02-99CC-9D0E0A08EFB9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3-1706-4F02-99CC-9D0E0A08EFB9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5-1706-4F02-99CC-9D0E0A08EFB9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7-1706-4F02-99CC-9D0E0A08EFB9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9-1706-4F02-99CC-9D0E0A08EFB9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B-1706-4F02-99CC-9D0E0A08EFB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72A-4AAD-9A53-45E55E7A0E60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2F-1706-4F02-99CC-9D0E0A08EFB9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31-1706-4F02-99CC-9D0E0A08EFB9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33-1706-4F02-99CC-9D0E0A08EFB9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35-1706-4F02-99CC-9D0E0A08EFB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37-1706-4F02-99CC-9D0E0A08EFB9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39-1706-4F02-99CC-9D0E0A08EFB9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3B-1706-4F02-99CC-9D0E0A08EFB9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3D-1706-4F02-99CC-9D0E0A08EFB9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3F-1706-4F02-99CC-9D0E0A08EFB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41-1706-4F02-99CC-9D0E0A08EFB9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43-1706-4F02-99CC-9D0E0A08EFB9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45-1706-4F02-99CC-9D0E0A08EFB9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47-1706-4F02-99CC-9D0E0A08EFB9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49-1706-4F02-99CC-9D0E0A08EFB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4B-1706-4F02-99CC-9D0E0A08EFB9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4D-1706-4F02-99CC-9D0E0A08EFB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4F-1706-4F02-99CC-9D0E0A08EFB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51-1706-4F02-99CC-9D0E0A08EFB9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53-1706-4F02-99CC-9D0E0A08EFB9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55-1706-4F02-99CC-9D0E0A08EFB9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57-1706-4F02-99CC-9D0E0A08EFB9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59-1706-4F02-99CC-9D0E0A08EFB9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5B-1706-4F02-99CC-9D0E0A08EFB9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5D-1706-4F02-99CC-9D0E0A08EFB9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5F-1706-4F02-99CC-9D0E0A08EFB9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61-1706-4F02-99CC-9D0E0A08EFB9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63-1706-4F02-99CC-9D0E0A08EFB9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65-1706-4F02-99CC-9D0E0A08EFB9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67-1706-4F02-99CC-9D0E0A08EFB9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69-1706-4F02-99CC-9D0E0A08EFB9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6B-1706-4F02-99CC-9D0E0A08EFB9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6D-1706-4F02-99CC-9D0E0A08EFB9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6F-1706-4F02-99CC-9D0E0A08EFB9}"/>
              </c:ext>
            </c:extLst>
          </c:dPt>
          <c:dPt>
            <c:idx val="5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71-1706-4F02-99CC-9D0E0A08EFB9}"/>
              </c:ext>
            </c:extLst>
          </c:dPt>
          <c:dPt>
            <c:idx val="5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172A-4AAD-9A53-45E55E7A0E60}"/>
              </c:ext>
            </c:extLst>
          </c:dPt>
          <c:dPt>
            <c:idx val="5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8-172A-4AAD-9A53-45E55E7A0E60}"/>
              </c:ext>
            </c:extLst>
          </c:dPt>
          <c:dPt>
            <c:idx val="5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77-1706-4F02-99CC-9D0E0A08EFB9}"/>
              </c:ext>
            </c:extLst>
          </c:dPt>
          <c:dPt>
            <c:idx val="6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79-1706-4F02-99CC-9D0E0A08EFB9}"/>
              </c:ext>
            </c:extLst>
          </c:dPt>
          <c:dPt>
            <c:idx val="61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72A-4AAD-9A53-45E55E7A0E60}"/>
              </c:ext>
            </c:extLst>
          </c:dPt>
          <c:dPt>
            <c:idx val="62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7D-1706-4F02-99CC-9D0E0A08EFB9}"/>
              </c:ext>
            </c:extLst>
          </c:dPt>
          <c:dPt>
            <c:idx val="63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72A-4AAD-9A53-45E55E7A0E60}"/>
              </c:ext>
            </c:extLst>
          </c:dPt>
          <c:dPt>
            <c:idx val="64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81-1706-4F02-99CC-9D0E0A08EFB9}"/>
              </c:ext>
            </c:extLst>
          </c:dPt>
          <c:dPt>
            <c:idx val="6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83-1706-4F02-99CC-9D0E0A08EFB9}"/>
              </c:ext>
            </c:extLst>
          </c:dPt>
          <c:dPt>
            <c:idx val="66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85-1706-4F02-99CC-9D0E0A08EFB9}"/>
              </c:ext>
            </c:extLst>
          </c:dPt>
          <c:dPt>
            <c:idx val="67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87-1706-4F02-99CC-9D0E0A08EFB9}"/>
              </c:ext>
            </c:extLst>
          </c:dPt>
          <c:dPt>
            <c:idx val="68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89-1706-4F02-99CC-9D0E0A08EFB9}"/>
              </c:ext>
            </c:extLst>
          </c:dPt>
          <c:dPt>
            <c:idx val="69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8B-1706-4F02-99CC-9D0E0A08EFB9}"/>
              </c:ext>
            </c:extLst>
          </c:dPt>
          <c:dPt>
            <c:idx val="70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172A-4AAD-9A53-45E55E7A0E60}"/>
              </c:ext>
            </c:extLst>
          </c:dPt>
          <c:dPt>
            <c:idx val="71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8F-1706-4F02-99CC-9D0E0A08EFB9}"/>
              </c:ext>
            </c:extLst>
          </c:dPt>
          <c:dPt>
            <c:idx val="72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91-1706-4F02-99CC-9D0E0A08EFB9}"/>
              </c:ext>
            </c:extLst>
          </c:dPt>
          <c:dPt>
            <c:idx val="73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93-1706-4F02-99CC-9D0E0A08EFB9}"/>
              </c:ext>
            </c:extLst>
          </c:dPt>
          <c:dPt>
            <c:idx val="74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95-1706-4F02-99CC-9D0E0A08EFB9}"/>
              </c:ext>
            </c:extLst>
          </c:dPt>
          <c:dLbls>
            <c:dLbl>
              <c:idx val="1"/>
              <c:layout>
                <c:manualLayout>
                  <c:x val="3.9627039627039624E-2"/>
                  <c:y val="-5.96249893805863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2A-4AAD-9A53-45E55E7A0E60}"/>
                </c:ext>
              </c:extLst>
            </c:dLbl>
            <c:dLbl>
              <c:idx val="3"/>
              <c:layout>
                <c:manualLayout>
                  <c:x val="4.5742434904996458E-2"/>
                  <c:y val="-5.110732538330493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06-4F02-99CC-9D0E0A08EFB9}"/>
                </c:ext>
              </c:extLst>
            </c:dLbl>
            <c:dLbl>
              <c:idx val="16"/>
              <c:layout>
                <c:manualLayout>
                  <c:x val="-1.6044994375703038E-2"/>
                  <c:y val="0.1541694232207794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706-4F02-99CC-9D0E0A08EFB9}"/>
                </c:ext>
              </c:extLst>
            </c:dLbl>
            <c:dLbl>
              <c:idx val="22"/>
              <c:layout>
                <c:manualLayout>
                  <c:x val="3.5186488388458401E-3"/>
                  <c:y val="0.12492901760363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2A-4AAD-9A53-45E55E7A0E60}"/>
                </c:ext>
              </c:extLst>
            </c:dLbl>
            <c:dLbl>
              <c:idx val="25"/>
              <c:layout>
                <c:manualLayout>
                  <c:x val="5.8644147314098054E-2"/>
                  <c:y val="-5.678591709256104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1706-4F02-99CC-9D0E0A08EFB9}"/>
                </c:ext>
              </c:extLst>
            </c:dLbl>
            <c:dLbl>
              <c:idx val="39"/>
              <c:layout>
                <c:manualLayout>
                  <c:x val="6.1552948738550439E-2"/>
                  <c:y val="0.1032781570957804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1706-4F02-99CC-9D0E0A08EFB9}"/>
                </c:ext>
              </c:extLst>
            </c:dLbl>
            <c:dLbl>
              <c:idx val="51"/>
              <c:layout>
                <c:manualLayout>
                  <c:x val="-5.6298381421534219E-2"/>
                  <c:y val="-2.555366269165246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1706-4F02-99CC-9D0E0A08EFB9}"/>
                </c:ext>
              </c:extLst>
            </c:dLbl>
            <c:dLbl>
              <c:idx val="52"/>
              <c:layout>
                <c:manualLayout>
                  <c:x val="-5.0433966690124322E-2"/>
                  <c:y val="-1.98750709823963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1706-4F02-99CC-9D0E0A08EFB9}"/>
                </c:ext>
              </c:extLst>
            </c:dLbl>
            <c:dLbl>
              <c:idx val="53"/>
              <c:layout>
                <c:manualLayout>
                  <c:x val="4.1191601049868666E-2"/>
                  <c:y val="0.1799374748667124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1706-4F02-99CC-9D0E0A08EFB9}"/>
                </c:ext>
              </c:extLst>
            </c:dLbl>
            <c:dLbl>
              <c:idx val="57"/>
              <c:layout>
                <c:manualLayout>
                  <c:x val="6.7839627189458254E-2"/>
                  <c:y val="6.629599323934592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2A-4AAD-9A53-45E55E7A0E60}"/>
                </c:ext>
              </c:extLst>
            </c:dLbl>
            <c:dLbl>
              <c:idx val="58"/>
              <c:layout>
                <c:manualLayout>
                  <c:x val="5.395261552897021E-2"/>
                  <c:y val="-3.407155025553662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72A-4AAD-9A53-45E55E7A0E60}"/>
                </c:ext>
              </c:extLst>
            </c:dLbl>
            <c:dLbl>
              <c:idx val="65"/>
              <c:layout>
                <c:manualLayout>
                  <c:x val="-7.1639723605977729E-2"/>
                  <c:y val="6.95187813220217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1706-4F02-99CC-9D0E0A08EFB9}"/>
                </c:ext>
              </c:extLst>
            </c:dLbl>
            <c:dLbl>
              <c:idx val="70"/>
              <c:layout>
                <c:manualLayout>
                  <c:x val="5.2779732582688074E-2"/>
                  <c:y val="-5.394639767133026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2A-4AAD-9A53-45E55E7A0E6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Φύλλο1!$B$1:$BX$1</c:f>
              <c:strCache>
                <c:ptCount val="75"/>
                <c:pt idx="0">
                  <c:v>SVM_a</c:v>
                </c:pt>
                <c:pt idx="1">
                  <c:v>SVM_g</c:v>
                </c:pt>
                <c:pt idx="2">
                  <c:v>CM_a</c:v>
                </c:pt>
                <c:pt idx="3">
                  <c:v>CM_g</c:v>
                </c:pt>
                <c:pt idx="4">
                  <c:v>jerk_x</c:v>
                </c:pt>
                <c:pt idx="5">
                  <c:v>jerk_y</c:v>
                </c:pt>
                <c:pt idx="6">
                  <c:v>jerk_z</c:v>
                </c:pt>
                <c:pt idx="7">
                  <c:v>accl_x</c:v>
                </c:pt>
                <c:pt idx="8">
                  <c:v>accl_y</c:v>
                </c:pt>
                <c:pt idx="9">
                  <c:v>accl_z</c:v>
                </c:pt>
                <c:pt idx="10">
                  <c:v>th_x</c:v>
                </c:pt>
                <c:pt idx="11">
                  <c:v>th_y</c:v>
                </c:pt>
                <c:pt idx="12">
                  <c:v>th_z</c:v>
                </c:pt>
                <c:pt idx="13">
                  <c:v>ag_x_mean</c:v>
                </c:pt>
                <c:pt idx="14">
                  <c:v>ag_x_max</c:v>
                </c:pt>
                <c:pt idx="15">
                  <c:v>ag_x_min</c:v>
                </c:pt>
                <c:pt idx="16">
                  <c:v>ag_y_mean</c:v>
                </c:pt>
                <c:pt idx="17">
                  <c:v>ag_y_max</c:v>
                </c:pt>
                <c:pt idx="18">
                  <c:v>ag_y_min</c:v>
                </c:pt>
                <c:pt idx="19">
                  <c:v>ag_z_mean</c:v>
                </c:pt>
                <c:pt idx="20">
                  <c:v>ag_z_max</c:v>
                </c:pt>
                <c:pt idx="21">
                  <c:v>ag_z_min</c:v>
                </c:pt>
                <c:pt idx="22">
                  <c:v>g_x_mean</c:v>
                </c:pt>
                <c:pt idx="23">
                  <c:v>g_x_max</c:v>
                </c:pt>
                <c:pt idx="24">
                  <c:v>g_x_min</c:v>
                </c:pt>
                <c:pt idx="25">
                  <c:v>g_y_mean</c:v>
                </c:pt>
                <c:pt idx="26">
                  <c:v>g_y_max</c:v>
                </c:pt>
                <c:pt idx="27">
                  <c:v>g_y_min</c:v>
                </c:pt>
                <c:pt idx="28">
                  <c:v>g_z_mean</c:v>
                </c:pt>
                <c:pt idx="29">
                  <c:v>g_z_max</c:v>
                </c:pt>
                <c:pt idx="30">
                  <c:v>g_z_min</c:v>
                </c:pt>
                <c:pt idx="31">
                  <c:v>SMA_a</c:v>
                </c:pt>
                <c:pt idx="32">
                  <c:v>SMA_g</c:v>
                </c:pt>
                <c:pt idx="33">
                  <c:v>RMS_ag_x</c:v>
                </c:pt>
                <c:pt idx="34">
                  <c:v>RMS_ag_y</c:v>
                </c:pt>
                <c:pt idx="35">
                  <c:v>RMS_ag_z</c:v>
                </c:pt>
                <c:pt idx="36">
                  <c:v>RMS_g_x</c:v>
                </c:pt>
                <c:pt idx="37">
                  <c:v>RMS_g_y</c:v>
                </c:pt>
                <c:pt idx="38">
                  <c:v>RMS_g_z</c:v>
                </c:pt>
                <c:pt idx="39">
                  <c:v>MAD_ag_x</c:v>
                </c:pt>
                <c:pt idx="40">
                  <c:v>MAD_ag_y</c:v>
                </c:pt>
                <c:pt idx="41">
                  <c:v>MAD_ag_z</c:v>
                </c:pt>
                <c:pt idx="42">
                  <c:v>MAD_g_x</c:v>
                </c:pt>
                <c:pt idx="43">
                  <c:v>MAD_g_y</c:v>
                </c:pt>
                <c:pt idx="44">
                  <c:v>MAD_g_z</c:v>
                </c:pt>
                <c:pt idx="45">
                  <c:v>VAR_ag_x</c:v>
                </c:pt>
                <c:pt idx="46">
                  <c:v>VAR_ag_y</c:v>
                </c:pt>
                <c:pt idx="47">
                  <c:v>VAR_ag_z</c:v>
                </c:pt>
                <c:pt idx="48">
                  <c:v>VAR_g_x</c:v>
                </c:pt>
                <c:pt idx="49">
                  <c:v>VAR_g_y</c:v>
                </c:pt>
                <c:pt idx="50">
                  <c:v>VAR_g_z</c:v>
                </c:pt>
                <c:pt idx="51">
                  <c:v>STD_ag_x</c:v>
                </c:pt>
                <c:pt idx="52">
                  <c:v>STD_ag_y</c:v>
                </c:pt>
                <c:pt idx="53">
                  <c:v>STD_ag_z</c:v>
                </c:pt>
                <c:pt idx="54">
                  <c:v>STD_g_x</c:v>
                </c:pt>
                <c:pt idx="55">
                  <c:v>STD_g_y</c:v>
                </c:pt>
                <c:pt idx="56">
                  <c:v>STD_g_z</c:v>
                </c:pt>
                <c:pt idx="57">
                  <c:v>IQR_ag_x</c:v>
                </c:pt>
                <c:pt idx="58">
                  <c:v>IQR_ag_y</c:v>
                </c:pt>
                <c:pt idx="59">
                  <c:v>IQR_ag_z</c:v>
                </c:pt>
                <c:pt idx="60">
                  <c:v>IQR_g_x</c:v>
                </c:pt>
                <c:pt idx="61">
                  <c:v>IQR_g_y</c:v>
                </c:pt>
                <c:pt idx="62">
                  <c:v>IQR_g_z</c:v>
                </c:pt>
                <c:pt idx="63">
                  <c:v>FFT_ag_x</c:v>
                </c:pt>
                <c:pt idx="64">
                  <c:v>FFT_ag_y</c:v>
                </c:pt>
                <c:pt idx="65">
                  <c:v>FFT_ag_z</c:v>
                </c:pt>
                <c:pt idx="66">
                  <c:v>FFT_g_x</c:v>
                </c:pt>
                <c:pt idx="67">
                  <c:v>FFT_g_y</c:v>
                </c:pt>
                <c:pt idx="68">
                  <c:v>FFT_g_z</c:v>
                </c:pt>
                <c:pt idx="69">
                  <c:v>E_ag_x</c:v>
                </c:pt>
                <c:pt idx="70">
                  <c:v>E_ag_y</c:v>
                </c:pt>
                <c:pt idx="71">
                  <c:v>E_ag_z</c:v>
                </c:pt>
                <c:pt idx="72">
                  <c:v>E_g_x</c:v>
                </c:pt>
                <c:pt idx="73">
                  <c:v>E_g_y</c:v>
                </c:pt>
                <c:pt idx="74">
                  <c:v>E_g_z</c:v>
                </c:pt>
              </c:strCache>
            </c:strRef>
          </c:cat>
          <c:val>
            <c:numRef>
              <c:f>Φύλλο1!$B$49:$BX$49</c:f>
              <c:numCache>
                <c:formatCode>0.000</c:formatCode>
                <c:ptCount val="75"/>
                <c:pt idx="0">
                  <c:v>-2.0232660335692911E-2</c:v>
                </c:pt>
                <c:pt idx="1">
                  <c:v>-0.45238095238095283</c:v>
                </c:pt>
                <c:pt idx="2">
                  <c:v>-0.11653755828698498</c:v>
                </c:pt>
                <c:pt idx="3">
                  <c:v>0.55555555555555414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5.512270928307356E-3</c:v>
                </c:pt>
                <c:pt idx="11">
                  <c:v>-4.3409598347979306E-4</c:v>
                </c:pt>
                <c:pt idx="12">
                  <c:v>-5.0585911317832525E-6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-0.49910873440285253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0.38461538461538364</c:v>
                </c:pt>
                <c:pt idx="23">
                  <c:v>0</c:v>
                </c:pt>
                <c:pt idx="24">
                  <c:v>0</c:v>
                </c:pt>
                <c:pt idx="25">
                  <c:v>0.50000000000000044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4.0438575879684914E-4</c:v>
                </c:pt>
                <c:pt idx="32">
                  <c:v>8.3333333333333412E-2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4.3333333333333339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-1.7307692307692313</c:v>
                </c:pt>
                <c:pt idx="52">
                  <c:v>1.6666666666666665</c:v>
                </c:pt>
                <c:pt idx="53">
                  <c:v>0.90909090909090851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3.5714285714285716</c:v>
                </c:pt>
                <c:pt idx="58">
                  <c:v>1.815476190476192</c:v>
                </c:pt>
                <c:pt idx="59">
                  <c:v>6.4102564102563611E-2</c:v>
                </c:pt>
                <c:pt idx="60">
                  <c:v>-0.17857142857142874</c:v>
                </c:pt>
                <c:pt idx="61">
                  <c:v>-0.16666666666666502</c:v>
                </c:pt>
                <c:pt idx="62">
                  <c:v>0</c:v>
                </c:pt>
                <c:pt idx="63">
                  <c:v>0</c:v>
                </c:pt>
                <c:pt idx="64">
                  <c:v>0.11904761904761726</c:v>
                </c:pt>
                <c:pt idx="65">
                  <c:v>-2.3577533577533591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3.9662106448806831E-3</c:v>
                </c:pt>
                <c:pt idx="70">
                  <c:v>-1.1793611793611805</c:v>
                </c:pt>
                <c:pt idx="71">
                  <c:v>3.4082024501521494E-3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A-4AAD-9A53-45E55E7A0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6"/>
        <c:shape val="box"/>
        <c:axId val="312704335"/>
        <c:axId val="312701935"/>
        <c:axId val="0"/>
      </c:bar3DChart>
      <c:catAx>
        <c:axId val="312704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/>
                  <a:t>Χαρακτηριστικά</a:t>
                </a:r>
              </a:p>
            </c:rich>
          </c:tx>
          <c:layout>
            <c:manualLayout>
              <c:xMode val="edge"/>
              <c:yMode val="edge"/>
              <c:x val="0.46337125716428301"/>
              <c:y val="0.931968244496620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701935"/>
        <c:crosses val="autoZero"/>
        <c:auto val="1"/>
        <c:lblAlgn val="ctr"/>
        <c:lblOffset val="100"/>
        <c:noMultiLvlLbl val="0"/>
      </c:catAx>
      <c:valAx>
        <c:axId val="3127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 </a:t>
                </a:r>
                <a:r>
                  <a:rPr lang="el-GR" sz="1400" b="0" i="0" u="none" strike="noStrike" baseline="0">
                    <a:effectLst/>
                  </a:rPr>
                  <a:t>Μέση Απώλεια πληροφορίας (%)</a:t>
                </a:r>
                <a:endParaRPr lang="el-GR" sz="1400"/>
              </a:p>
            </c:rich>
          </c:tx>
          <c:layout>
            <c:manualLayout>
              <c:xMode val="edge"/>
              <c:yMode val="edge"/>
              <c:x val="1.647790454764583E-2"/>
              <c:y val="0.24132171905200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70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Τυπική Απόκλιση Απώλειας Πληροφορίας ανά χαρατηριστικό από τον Η/Υ στο </a:t>
            </a: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ESP32</a:t>
            </a:r>
            <a:r>
              <a:rPr lang="el-GR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3C2E-4885-98BF-24B16EFCE61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C2E-4885-98BF-24B16EFCE6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3C2E-4885-98BF-24B16EFCE6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3C2E-4885-98BF-24B16EFCE61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3C2E-4885-98BF-24B16EFCE61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3C2E-4885-98BF-24B16EFCE61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3C2E-4885-98BF-24B16EFCE61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3C2E-4885-98BF-24B16EFCE61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3C2E-4885-98BF-24B16EFCE61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3C2E-4885-98BF-24B16EFCE61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3C2E-4885-98BF-24B16EFCE61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3C2E-4885-98BF-24B16EFCE61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3C2E-4885-98BF-24B16EFCE61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3C2E-4885-98BF-24B16EFCE616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3C2E-4885-98BF-24B16EFCE616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3C2E-4885-98BF-24B16EFCE616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3C2E-4885-98BF-24B16EFCE616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3C2E-4885-98BF-24B16EFCE616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3C2E-4885-98BF-24B16EFCE616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3C2E-4885-98BF-24B16EFCE616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3C2E-4885-98BF-24B16EFCE616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3C2E-4885-98BF-24B16EFCE616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3C2E-4885-98BF-24B16EFCE616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3C2E-4885-98BF-24B16EFCE616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3C2E-4885-98BF-24B16EFCE616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3C2E-4885-98BF-24B16EFCE616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3C2E-4885-98BF-24B16EFCE616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3C2E-4885-98BF-24B16EFCE616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3C2E-4885-98BF-24B16EFCE616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3C2E-4885-98BF-24B16EFCE616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3C2E-4885-98BF-24B16EFCE616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3C2E-4885-98BF-24B16EFCE616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3C2E-4885-98BF-24B16EFCE616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3C2E-4885-98BF-24B16EFCE616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3C2E-4885-98BF-24B16EFCE616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3C2E-4885-98BF-24B16EFCE616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9-3C2E-4885-98BF-24B16EFCE616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B-3C2E-4885-98BF-24B16EFCE616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D-3C2E-4885-98BF-24B16EFCE616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C50-4332-949C-97B14F97A03F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1-3C2E-4885-98BF-24B16EFCE616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3-3C2E-4885-98BF-24B16EFCE616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5-3C2E-4885-98BF-24B16EFCE616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7-3C2E-4885-98BF-24B16EFCE616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9-3C2E-4885-98BF-24B16EFCE616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B-3C2E-4885-98BF-24B16EFCE61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D-3C2E-4885-98BF-24B16EFCE61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F-3C2E-4885-98BF-24B16EFCE616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1-3C2E-4885-98BF-24B16EFCE616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3C2E-4885-98BF-24B16EFCE616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3C2E-4885-98BF-24B16EFCE616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2C50-4332-949C-97B14F97A03F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2C50-4332-949C-97B14F97A03F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2C50-4332-949C-97B14F97A03F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3C2E-4885-98BF-24B16EFCE616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F-3C2E-4885-98BF-24B16EFCE616}"/>
              </c:ext>
            </c:extLst>
          </c:dPt>
          <c:dPt>
            <c:idx val="5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1-3C2E-4885-98BF-24B16EFCE616}"/>
              </c:ext>
            </c:extLst>
          </c:dPt>
          <c:dPt>
            <c:idx val="5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2C50-4332-949C-97B14F97A03F}"/>
              </c:ext>
            </c:extLst>
          </c:dPt>
          <c:dPt>
            <c:idx val="5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2C50-4332-949C-97B14F97A03F}"/>
              </c:ext>
            </c:extLst>
          </c:dPt>
          <c:dPt>
            <c:idx val="5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2C50-4332-949C-97B14F97A03F}"/>
              </c:ext>
            </c:extLst>
          </c:dPt>
          <c:dPt>
            <c:idx val="6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9-3C2E-4885-98BF-24B16EFCE616}"/>
              </c:ext>
            </c:extLst>
          </c:dPt>
          <c:dPt>
            <c:idx val="61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2C50-4332-949C-97B14F97A03F}"/>
              </c:ext>
            </c:extLst>
          </c:dPt>
          <c:dPt>
            <c:idx val="62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D-3C2E-4885-98BF-24B16EFCE616}"/>
              </c:ext>
            </c:extLst>
          </c:dPt>
          <c:dPt>
            <c:idx val="63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F-3C2E-4885-98BF-24B16EFCE616}"/>
              </c:ext>
            </c:extLst>
          </c:dPt>
          <c:dPt>
            <c:idx val="64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1-3C2E-4885-98BF-24B16EFCE616}"/>
              </c:ext>
            </c:extLst>
          </c:dPt>
          <c:dPt>
            <c:idx val="6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2C50-4332-949C-97B14F97A03F}"/>
              </c:ext>
            </c:extLst>
          </c:dPt>
          <c:dPt>
            <c:idx val="66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5-3C2E-4885-98BF-24B16EFCE616}"/>
              </c:ext>
            </c:extLst>
          </c:dPt>
          <c:dPt>
            <c:idx val="67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7-3C2E-4885-98BF-24B16EFCE616}"/>
              </c:ext>
            </c:extLst>
          </c:dPt>
          <c:dPt>
            <c:idx val="68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9-3C2E-4885-98BF-24B16EFCE616}"/>
              </c:ext>
            </c:extLst>
          </c:dPt>
          <c:dPt>
            <c:idx val="69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B-3C2E-4885-98BF-24B16EFCE616}"/>
              </c:ext>
            </c:extLst>
          </c:dPt>
          <c:dPt>
            <c:idx val="70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2C50-4332-949C-97B14F97A03F}"/>
              </c:ext>
            </c:extLst>
          </c:dPt>
          <c:dPt>
            <c:idx val="71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F-3C2E-4885-98BF-24B16EFCE616}"/>
              </c:ext>
            </c:extLst>
          </c:dPt>
          <c:dPt>
            <c:idx val="72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1-3C2E-4885-98BF-24B16EFCE616}"/>
              </c:ext>
            </c:extLst>
          </c:dPt>
          <c:dPt>
            <c:idx val="73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3-3C2E-4885-98BF-24B16EFCE616}"/>
              </c:ext>
            </c:extLst>
          </c:dPt>
          <c:dPt>
            <c:idx val="74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5-3C2E-4885-98BF-24B16EFCE616}"/>
              </c:ext>
            </c:extLst>
          </c:dPt>
          <c:dLbls>
            <c:dLbl>
              <c:idx val="39"/>
              <c:layout>
                <c:manualLayout>
                  <c:x val="-7.5912077951506909E-2"/>
                  <c:y val="0.121824779678589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50-4332-949C-97B14F97A03F}"/>
                </c:ext>
              </c:extLst>
            </c:dLbl>
            <c:dLbl>
              <c:idx val="51"/>
              <c:layout>
                <c:manualLayout>
                  <c:x val="-7.5912077951506909E-2"/>
                  <c:y val="0.2047693105235873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50-4332-949C-97B14F97A03F}"/>
                </c:ext>
              </c:extLst>
            </c:dLbl>
            <c:dLbl>
              <c:idx val="52"/>
              <c:layout>
                <c:manualLayout>
                  <c:x val="-6.0049852707908538E-2"/>
                  <c:y val="0.1607050285121824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50-4332-949C-97B14F97A03F}"/>
                </c:ext>
              </c:extLst>
            </c:dLbl>
            <c:dLbl>
              <c:idx val="53"/>
              <c:layout>
                <c:manualLayout>
                  <c:x val="-8.4976206662134596E-2"/>
                  <c:y val="0.119232763089683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50-4332-949C-97B14F97A03F}"/>
                </c:ext>
              </c:extLst>
            </c:dLbl>
            <c:dLbl>
              <c:idx val="57"/>
              <c:layout>
                <c:manualLayout>
                  <c:x val="-6.6847949240879223E-2"/>
                  <c:y val="4.924831518921721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50-4332-949C-97B14F97A03F}"/>
                </c:ext>
              </c:extLst>
            </c:dLbl>
            <c:dLbl>
              <c:idx val="58"/>
              <c:layout>
                <c:manualLayout>
                  <c:x val="-3.3990482664853841E-3"/>
                  <c:y val="0.1114567133229652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C50-4332-949C-97B14F97A03F}"/>
                </c:ext>
              </c:extLst>
            </c:dLbl>
            <c:dLbl>
              <c:idx val="59"/>
              <c:layout>
                <c:manualLayout>
                  <c:x val="4.7586675730795377E-2"/>
                  <c:y val="-2.59201658890617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C50-4332-949C-97B14F97A03F}"/>
                </c:ext>
              </c:extLst>
            </c:dLbl>
            <c:dLbl>
              <c:idx val="61"/>
              <c:layout>
                <c:manualLayout>
                  <c:x val="4.4187627464309993E-2"/>
                  <c:y val="-5.443234836702955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C50-4332-949C-97B14F97A03F}"/>
                </c:ext>
              </c:extLst>
            </c:dLbl>
            <c:dLbl>
              <c:idx val="65"/>
              <c:layout>
                <c:manualLayout>
                  <c:x val="5.8916836619079989E-2"/>
                  <c:y val="0.139968895800933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C50-4332-949C-97B14F97A03F}"/>
                </c:ext>
              </c:extLst>
            </c:dLbl>
            <c:dLbl>
              <c:idx val="70"/>
              <c:layout>
                <c:manualLayout>
                  <c:x val="1.246317697711324E-2"/>
                  <c:y val="0.1166407465007775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C50-4332-949C-97B14F97A03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Φύλλο1!$B$1:$BX$1</c:f>
              <c:strCache>
                <c:ptCount val="75"/>
                <c:pt idx="0">
                  <c:v>SVM_a</c:v>
                </c:pt>
                <c:pt idx="1">
                  <c:v>SVM_g</c:v>
                </c:pt>
                <c:pt idx="2">
                  <c:v>CM_a</c:v>
                </c:pt>
                <c:pt idx="3">
                  <c:v>CM_g</c:v>
                </c:pt>
                <c:pt idx="4">
                  <c:v>jerk_x</c:v>
                </c:pt>
                <c:pt idx="5">
                  <c:v>jerk_y</c:v>
                </c:pt>
                <c:pt idx="6">
                  <c:v>jerk_z</c:v>
                </c:pt>
                <c:pt idx="7">
                  <c:v>accl_x</c:v>
                </c:pt>
                <c:pt idx="8">
                  <c:v>accl_y</c:v>
                </c:pt>
                <c:pt idx="9">
                  <c:v>accl_z</c:v>
                </c:pt>
                <c:pt idx="10">
                  <c:v>th_x</c:v>
                </c:pt>
                <c:pt idx="11">
                  <c:v>th_y</c:v>
                </c:pt>
                <c:pt idx="12">
                  <c:v>th_z</c:v>
                </c:pt>
                <c:pt idx="13">
                  <c:v>ag_x_mean</c:v>
                </c:pt>
                <c:pt idx="14">
                  <c:v>ag_x_max</c:v>
                </c:pt>
                <c:pt idx="15">
                  <c:v>ag_x_min</c:v>
                </c:pt>
                <c:pt idx="16">
                  <c:v>ag_y_mean</c:v>
                </c:pt>
                <c:pt idx="17">
                  <c:v>ag_y_max</c:v>
                </c:pt>
                <c:pt idx="18">
                  <c:v>ag_y_min</c:v>
                </c:pt>
                <c:pt idx="19">
                  <c:v>ag_z_mean</c:v>
                </c:pt>
                <c:pt idx="20">
                  <c:v>ag_z_max</c:v>
                </c:pt>
                <c:pt idx="21">
                  <c:v>ag_z_min</c:v>
                </c:pt>
                <c:pt idx="22">
                  <c:v>g_x_mean</c:v>
                </c:pt>
                <c:pt idx="23">
                  <c:v>g_x_max</c:v>
                </c:pt>
                <c:pt idx="24">
                  <c:v>g_x_min</c:v>
                </c:pt>
                <c:pt idx="25">
                  <c:v>g_y_mean</c:v>
                </c:pt>
                <c:pt idx="26">
                  <c:v>g_y_max</c:v>
                </c:pt>
                <c:pt idx="27">
                  <c:v>g_y_min</c:v>
                </c:pt>
                <c:pt idx="28">
                  <c:v>g_z_mean</c:v>
                </c:pt>
                <c:pt idx="29">
                  <c:v>g_z_max</c:v>
                </c:pt>
                <c:pt idx="30">
                  <c:v>g_z_min</c:v>
                </c:pt>
                <c:pt idx="31">
                  <c:v>SMA_a</c:v>
                </c:pt>
                <c:pt idx="32">
                  <c:v>SMA_g</c:v>
                </c:pt>
                <c:pt idx="33">
                  <c:v>RMS_ag_x</c:v>
                </c:pt>
                <c:pt idx="34">
                  <c:v>RMS_ag_y</c:v>
                </c:pt>
                <c:pt idx="35">
                  <c:v>RMS_ag_z</c:v>
                </c:pt>
                <c:pt idx="36">
                  <c:v>RMS_g_x</c:v>
                </c:pt>
                <c:pt idx="37">
                  <c:v>RMS_g_y</c:v>
                </c:pt>
                <c:pt idx="38">
                  <c:v>RMS_g_z</c:v>
                </c:pt>
                <c:pt idx="39">
                  <c:v>MAD_ag_x</c:v>
                </c:pt>
                <c:pt idx="40">
                  <c:v>MAD_ag_y</c:v>
                </c:pt>
                <c:pt idx="41">
                  <c:v>MAD_ag_z</c:v>
                </c:pt>
                <c:pt idx="42">
                  <c:v>MAD_g_x</c:v>
                </c:pt>
                <c:pt idx="43">
                  <c:v>MAD_g_y</c:v>
                </c:pt>
                <c:pt idx="44">
                  <c:v>MAD_g_z</c:v>
                </c:pt>
                <c:pt idx="45">
                  <c:v>VAR_ag_x</c:v>
                </c:pt>
                <c:pt idx="46">
                  <c:v>VAR_ag_y</c:v>
                </c:pt>
                <c:pt idx="47">
                  <c:v>VAR_ag_z</c:v>
                </c:pt>
                <c:pt idx="48">
                  <c:v>VAR_g_x</c:v>
                </c:pt>
                <c:pt idx="49">
                  <c:v>VAR_g_y</c:v>
                </c:pt>
                <c:pt idx="50">
                  <c:v>VAR_g_z</c:v>
                </c:pt>
                <c:pt idx="51">
                  <c:v>STD_ag_x</c:v>
                </c:pt>
                <c:pt idx="52">
                  <c:v>STD_ag_y</c:v>
                </c:pt>
                <c:pt idx="53">
                  <c:v>STD_ag_z</c:v>
                </c:pt>
                <c:pt idx="54">
                  <c:v>STD_g_x</c:v>
                </c:pt>
                <c:pt idx="55">
                  <c:v>STD_g_y</c:v>
                </c:pt>
                <c:pt idx="56">
                  <c:v>STD_g_z</c:v>
                </c:pt>
                <c:pt idx="57">
                  <c:v>IQR_ag_x</c:v>
                </c:pt>
                <c:pt idx="58">
                  <c:v>IQR_ag_y</c:v>
                </c:pt>
                <c:pt idx="59">
                  <c:v>IQR_ag_z</c:v>
                </c:pt>
                <c:pt idx="60">
                  <c:v>IQR_g_x</c:v>
                </c:pt>
                <c:pt idx="61">
                  <c:v>IQR_g_y</c:v>
                </c:pt>
                <c:pt idx="62">
                  <c:v>IQR_g_z</c:v>
                </c:pt>
                <c:pt idx="63">
                  <c:v>FFT_ag_x</c:v>
                </c:pt>
                <c:pt idx="64">
                  <c:v>FFT_ag_y</c:v>
                </c:pt>
                <c:pt idx="65">
                  <c:v>FFT_ag_z</c:v>
                </c:pt>
                <c:pt idx="66">
                  <c:v>FFT_g_x</c:v>
                </c:pt>
                <c:pt idx="67">
                  <c:v>FFT_g_y</c:v>
                </c:pt>
                <c:pt idx="68">
                  <c:v>FFT_g_z</c:v>
                </c:pt>
                <c:pt idx="69">
                  <c:v>E_ag_x</c:v>
                </c:pt>
                <c:pt idx="70">
                  <c:v>E_ag_y</c:v>
                </c:pt>
                <c:pt idx="71">
                  <c:v>E_ag_z</c:v>
                </c:pt>
                <c:pt idx="72">
                  <c:v>E_g_x</c:v>
                </c:pt>
                <c:pt idx="73">
                  <c:v>E_g_y</c:v>
                </c:pt>
                <c:pt idx="74">
                  <c:v>E_g_z</c:v>
                </c:pt>
              </c:strCache>
            </c:strRef>
          </c:cat>
          <c:val>
            <c:numRef>
              <c:f>Φύλλο1!$B$50:$BX$50</c:f>
              <c:numCache>
                <c:formatCode>0.000</c:formatCode>
                <c:ptCount val="75"/>
                <c:pt idx="0">
                  <c:v>7.559458065579866E-2</c:v>
                </c:pt>
                <c:pt idx="1">
                  <c:v>1.0238095238095248</c:v>
                </c:pt>
                <c:pt idx="2">
                  <c:v>0.51245603556505392</c:v>
                </c:pt>
                <c:pt idx="3">
                  <c:v>1.6666666666666623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3.7274344764805387E-2</c:v>
                </c:pt>
                <c:pt idx="11">
                  <c:v>5.0582300494915203E-2</c:v>
                </c:pt>
                <c:pt idx="12">
                  <c:v>1.5903766437332909E-2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1.0264656006337241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1.1538461538461511</c:v>
                </c:pt>
                <c:pt idx="23">
                  <c:v>0</c:v>
                </c:pt>
                <c:pt idx="24">
                  <c:v>0</c:v>
                </c:pt>
                <c:pt idx="25">
                  <c:v>1.5000000000000013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4.9143741510310958E-2</c:v>
                </c:pt>
                <c:pt idx="32">
                  <c:v>0.25000000000000022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10.115993936995679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8.0883618633896504</c:v>
                </c:pt>
                <c:pt idx="52">
                  <c:v>5</c:v>
                </c:pt>
                <c:pt idx="53">
                  <c:v>2.7272727272727253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11.517511068997928</c:v>
                </c:pt>
                <c:pt idx="58">
                  <c:v>2.8248735749207836</c:v>
                </c:pt>
                <c:pt idx="59">
                  <c:v>9.8076923076923084</c:v>
                </c:pt>
                <c:pt idx="60">
                  <c:v>0.53571428571428625</c:v>
                </c:pt>
                <c:pt idx="61">
                  <c:v>4.112987559751021</c:v>
                </c:pt>
                <c:pt idx="62">
                  <c:v>0</c:v>
                </c:pt>
                <c:pt idx="63">
                  <c:v>0</c:v>
                </c:pt>
                <c:pt idx="64">
                  <c:v>1.0046816588231833</c:v>
                </c:pt>
                <c:pt idx="65">
                  <c:v>10.190816546563328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9.0013061103173406E-2</c:v>
                </c:pt>
                <c:pt idx="70">
                  <c:v>2.7575406086679535</c:v>
                </c:pt>
                <c:pt idx="71">
                  <c:v>2.0156576837360229E-2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0-4332-949C-97B14F97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7055680"/>
        <c:axId val="1857052800"/>
        <c:axId val="0"/>
      </c:bar3DChart>
      <c:catAx>
        <c:axId val="1857055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Χαρακτηριστικά</a:t>
                </a:r>
              </a:p>
            </c:rich>
          </c:tx>
          <c:layout>
            <c:manualLayout>
              <c:xMode val="edge"/>
              <c:yMode val="edge"/>
              <c:x val="0.4853496559021217"/>
              <c:y val="0.927376797573709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052800"/>
        <c:crosses val="autoZero"/>
        <c:auto val="1"/>
        <c:lblAlgn val="ctr"/>
        <c:lblOffset val="100"/>
        <c:noMultiLvlLbl val="0"/>
      </c:catAx>
      <c:valAx>
        <c:axId val="185705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Τυπική Απόκληση  Απώλειας πληροφορίας (%)</a:t>
                </a:r>
                <a:endParaRPr lang="el-GR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05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78</xdr:row>
      <xdr:rowOff>99060</xdr:rowOff>
    </xdr:from>
    <xdr:to>
      <xdr:col>9</xdr:col>
      <xdr:colOff>312420</xdr:colOff>
      <xdr:row>104</xdr:row>
      <xdr:rowOff>137160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3658AE1E-3060-47FD-BB1D-BE2AF6473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105</xdr:row>
      <xdr:rowOff>0</xdr:rowOff>
    </xdr:from>
    <xdr:to>
      <xdr:col>8</xdr:col>
      <xdr:colOff>320040</xdr:colOff>
      <xdr:row>131</xdr:row>
      <xdr:rowOff>144780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695AA6F1-7ACA-4D9F-B42E-FF178BD0C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A15B-0892-487C-B1B6-D7B8F51F55F4}">
  <dimension ref="A1:BZ341"/>
  <sheetViews>
    <sheetView tabSelected="1" topLeftCell="A19" zoomScaleNormal="100" workbookViewId="0">
      <selection activeCell="B26" sqref="B26"/>
    </sheetView>
  </sheetViews>
  <sheetFormatPr defaultRowHeight="14.4" x14ac:dyDescent="0.3"/>
  <cols>
    <col min="1" max="1" width="41.33203125" customWidth="1"/>
    <col min="2" max="2" width="14.33203125" customWidth="1"/>
    <col min="3" max="3" width="15.5546875" customWidth="1"/>
    <col min="4" max="4" width="14.21875" customWidth="1"/>
    <col min="5" max="5" width="13.6640625" bestFit="1" customWidth="1"/>
    <col min="6" max="11" width="9.44140625" bestFit="1" customWidth="1"/>
    <col min="12" max="40" width="13.6640625" bestFit="1" customWidth="1"/>
    <col min="41" max="41" width="14.6640625" bestFit="1" customWidth="1"/>
    <col min="42" max="46" width="13.6640625" bestFit="1" customWidth="1"/>
    <col min="47" max="52" width="9.44140625" bestFit="1" customWidth="1"/>
    <col min="53" max="58" width="13.6640625" bestFit="1" customWidth="1"/>
    <col min="59" max="59" width="14.6640625" bestFit="1" customWidth="1"/>
    <col min="60" max="64" width="13.6640625" bestFit="1" customWidth="1"/>
    <col min="65" max="65" width="9.44140625" bestFit="1" customWidth="1"/>
    <col min="66" max="66" width="13.6640625" bestFit="1" customWidth="1"/>
    <col min="67" max="67" width="14.6640625" bestFit="1" customWidth="1"/>
    <col min="68" max="76" width="13.6640625" bestFit="1" customWidth="1"/>
  </cols>
  <sheetData>
    <row r="1" spans="1:78" x14ac:dyDescent="0.3">
      <c r="A1" s="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/>
      <c r="BZ1" s="2"/>
    </row>
    <row r="2" spans="1:78" x14ac:dyDescent="0.3">
      <c r="A2" s="2"/>
      <c r="B2" s="2">
        <v>0.99</v>
      </c>
      <c r="C2" s="2">
        <v>0.03</v>
      </c>
      <c r="D2" s="2">
        <v>0.26</v>
      </c>
      <c r="E2" s="2">
        <v>1.7000000000000001E-2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1.8779999999999999</v>
      </c>
      <c r="M2" s="2">
        <v>1.5069999999999999</v>
      </c>
      <c r="N2" s="2">
        <v>2.8279999999999998</v>
      </c>
      <c r="O2" s="2">
        <v>-0.3</v>
      </c>
      <c r="P2" s="2">
        <v>-0.29399999999999998</v>
      </c>
      <c r="Q2" s="2">
        <v>-0.308</v>
      </c>
      <c r="R2" s="2">
        <v>6.0999999999999999E-2</v>
      </c>
      <c r="S2" s="2">
        <v>6.9000000000000006E-2</v>
      </c>
      <c r="T2" s="2">
        <v>4.9000000000000002E-2</v>
      </c>
      <c r="U2" s="2">
        <v>-0.94099999999999995</v>
      </c>
      <c r="V2" s="2">
        <v>-0.93799999999999994</v>
      </c>
      <c r="W2" s="2">
        <v>-0.94499999999999995</v>
      </c>
      <c r="X2" s="2">
        <v>-2.5999999999999999E-2</v>
      </c>
      <c r="Y2" s="2">
        <v>-1.4999999999999999E-2</v>
      </c>
      <c r="Z2" s="2">
        <v>-4.2999999999999997E-2</v>
      </c>
      <c r="AA2" s="2">
        <v>1.9E-2</v>
      </c>
      <c r="AB2" s="2">
        <v>3.1E-2</v>
      </c>
      <c r="AC2" s="2">
        <v>1.0999999999999999E-2</v>
      </c>
      <c r="AD2" s="2">
        <v>-1.4999999999999999E-2</v>
      </c>
      <c r="AE2" s="2">
        <v>-8.0000000000000002E-3</v>
      </c>
      <c r="AF2" s="2">
        <v>-2.3E-2</v>
      </c>
      <c r="AG2" s="2">
        <v>1.302</v>
      </c>
      <c r="AH2" s="2">
        <v>0.06</v>
      </c>
      <c r="AI2" s="2">
        <v>0.3</v>
      </c>
      <c r="AJ2" s="2">
        <v>6.0999999999999999E-2</v>
      </c>
      <c r="AK2" s="2">
        <v>0.94099999999999995</v>
      </c>
      <c r="AL2" s="2">
        <v>2.8000000000000001E-2</v>
      </c>
      <c r="AM2" s="2">
        <v>0.02</v>
      </c>
      <c r="AN2" s="2">
        <v>1.6E-2</v>
      </c>
      <c r="AO2" s="2">
        <v>4.0000000000000001E-3</v>
      </c>
      <c r="AP2" s="2">
        <v>7.0000000000000001E-3</v>
      </c>
      <c r="AQ2" s="2">
        <v>2E-3</v>
      </c>
      <c r="AR2" s="2">
        <v>0.01</v>
      </c>
      <c r="AS2" s="2">
        <v>7.0000000000000001E-3</v>
      </c>
      <c r="AT2" s="2">
        <v>5.0000000000000001E-3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5.0000000000000001E-3</v>
      </c>
      <c r="BB2" s="2">
        <v>7.0000000000000001E-3</v>
      </c>
      <c r="BC2" s="2">
        <v>2E-3</v>
      </c>
      <c r="BD2" s="2">
        <v>1.0999999999999999E-2</v>
      </c>
      <c r="BE2" s="2">
        <v>8.0000000000000002E-3</v>
      </c>
      <c r="BF2" s="2">
        <v>5.0000000000000001E-3</v>
      </c>
      <c r="BG2" s="2">
        <v>7.0000000000000001E-3</v>
      </c>
      <c r="BH2" s="2">
        <v>1.4E-2</v>
      </c>
      <c r="BI2" s="2">
        <v>2E-3</v>
      </c>
      <c r="BJ2" s="2">
        <v>1.7999999999999999E-2</v>
      </c>
      <c r="BK2" s="2">
        <v>1.2E-2</v>
      </c>
      <c r="BL2" s="2">
        <v>8.9999999999999993E-3</v>
      </c>
      <c r="BM2" s="2">
        <v>-0.02</v>
      </c>
      <c r="BN2" s="2">
        <v>-3.3000000000000002E-2</v>
      </c>
      <c r="BO2" s="2">
        <v>5.0000000000000001E-3</v>
      </c>
      <c r="BP2" s="2">
        <v>4.2000000000000003E-2</v>
      </c>
      <c r="BQ2" s="2">
        <v>-2.1999999999999999E-2</v>
      </c>
      <c r="BR2" s="2">
        <v>-0.02</v>
      </c>
      <c r="BS2" s="2">
        <v>0.89800000000000002</v>
      </c>
      <c r="BT2" s="2">
        <v>3.6999999999999998E-2</v>
      </c>
      <c r="BU2" s="2">
        <v>8.8620000000000001</v>
      </c>
      <c r="BV2" s="2">
        <v>8.0000000000000002E-3</v>
      </c>
      <c r="BW2" s="2">
        <v>4.0000000000000001E-3</v>
      </c>
      <c r="BX2" s="2">
        <v>3.0000000000000001E-3</v>
      </c>
      <c r="BY2" s="2"/>
      <c r="BZ2" s="2"/>
    </row>
    <row r="3" spans="1:78" x14ac:dyDescent="0.3">
      <c r="A3" s="2"/>
      <c r="B3" s="2">
        <v>0.98799999999999999</v>
      </c>
      <c r="C3" s="2">
        <v>7.3999999999999996E-2</v>
      </c>
      <c r="D3" s="2">
        <v>0.22800000000000001</v>
      </c>
      <c r="E3" s="2">
        <v>3.2000000000000001E-2</v>
      </c>
      <c r="F3" s="2">
        <v>0</v>
      </c>
      <c r="G3" s="2">
        <v>0</v>
      </c>
      <c r="H3" s="2">
        <v>0</v>
      </c>
      <c r="I3" s="2">
        <v>1E-3</v>
      </c>
      <c r="J3" s="2">
        <v>0</v>
      </c>
      <c r="K3" s="2">
        <v>0</v>
      </c>
      <c r="L3" s="2">
        <v>1.8759999999999999</v>
      </c>
      <c r="M3" s="2">
        <v>1.526</v>
      </c>
      <c r="N3" s="2">
        <v>2.835</v>
      </c>
      <c r="O3" s="2">
        <v>-0.29399999999999998</v>
      </c>
      <c r="P3" s="2">
        <v>-0.26400000000000001</v>
      </c>
      <c r="Q3" s="2">
        <v>-0.312</v>
      </c>
      <c r="R3" s="2">
        <v>3.5999999999999997E-2</v>
      </c>
      <c r="S3" s="2">
        <v>6.4000000000000001E-2</v>
      </c>
      <c r="T3" s="2">
        <v>1E-3</v>
      </c>
      <c r="U3" s="2">
        <v>-0.94399999999999995</v>
      </c>
      <c r="V3" s="2">
        <v>-0.92500000000000004</v>
      </c>
      <c r="W3" s="2">
        <v>-0.96899999999999997</v>
      </c>
      <c r="X3" s="2">
        <v>3.4000000000000002E-2</v>
      </c>
      <c r="Y3" s="2">
        <v>0.16900000000000001</v>
      </c>
      <c r="Z3" s="2">
        <v>-3.9E-2</v>
      </c>
      <c r="AA3" s="2">
        <v>8.9999999999999993E-3</v>
      </c>
      <c r="AB3" s="2">
        <v>0.10299999999999999</v>
      </c>
      <c r="AC3" s="2">
        <v>-6.4000000000000001E-2</v>
      </c>
      <c r="AD3" s="2">
        <v>-3.1E-2</v>
      </c>
      <c r="AE3" s="2">
        <v>-1E-3</v>
      </c>
      <c r="AF3" s="2">
        <v>-7.1999999999999995E-2</v>
      </c>
      <c r="AG3" s="2">
        <v>1.274</v>
      </c>
      <c r="AH3" s="2">
        <v>0.13200000000000001</v>
      </c>
      <c r="AI3" s="2">
        <v>0.29399999999999998</v>
      </c>
      <c r="AJ3" s="2">
        <v>4.4999999999999998E-2</v>
      </c>
      <c r="AK3" s="2">
        <v>0.94399999999999995</v>
      </c>
      <c r="AL3" s="2">
        <v>8.1000000000000003E-2</v>
      </c>
      <c r="AM3" s="2">
        <v>0.05</v>
      </c>
      <c r="AN3" s="2">
        <v>3.7999999999999999E-2</v>
      </c>
      <c r="AO3" s="2">
        <v>8.9999999999999993E-3</v>
      </c>
      <c r="AP3" s="2">
        <v>2.5999999999999999E-2</v>
      </c>
      <c r="AQ3" s="2">
        <v>7.0000000000000001E-3</v>
      </c>
      <c r="AR3" s="2">
        <v>6.4000000000000001E-2</v>
      </c>
      <c r="AS3" s="2">
        <v>4.1000000000000002E-2</v>
      </c>
      <c r="AT3" s="2">
        <v>1.9E-2</v>
      </c>
      <c r="AU3" s="2">
        <v>0</v>
      </c>
      <c r="AV3" s="2">
        <v>1E-3</v>
      </c>
      <c r="AW3" s="2">
        <v>0</v>
      </c>
      <c r="AX3" s="2">
        <v>5.0000000000000001E-3</v>
      </c>
      <c r="AY3" s="2">
        <v>2E-3</v>
      </c>
      <c r="AZ3" s="2">
        <v>1E-3</v>
      </c>
      <c r="BA3" s="2">
        <v>1.2999999999999999E-2</v>
      </c>
      <c r="BB3" s="2">
        <v>2.7E-2</v>
      </c>
      <c r="BC3" s="2">
        <v>1.0999999999999999E-2</v>
      </c>
      <c r="BD3" s="2">
        <v>7.2999999999999995E-2</v>
      </c>
      <c r="BE3" s="2">
        <v>0.05</v>
      </c>
      <c r="BF3" s="2">
        <v>2.3E-2</v>
      </c>
      <c r="BG3" s="2">
        <v>5.0000000000000001E-3</v>
      </c>
      <c r="BH3" s="2">
        <v>5.8000000000000003E-2</v>
      </c>
      <c r="BI3" s="2">
        <v>6.0000000000000001E-3</v>
      </c>
      <c r="BJ3" s="2">
        <v>9.0999999999999998E-2</v>
      </c>
      <c r="BK3" s="2">
        <v>6.7000000000000004E-2</v>
      </c>
      <c r="BL3" s="2">
        <v>2.5999999999999999E-2</v>
      </c>
      <c r="BM3" s="2">
        <v>-3.9E-2</v>
      </c>
      <c r="BN3" s="2">
        <v>4.2999999999999997E-2</v>
      </c>
      <c r="BO3" s="2">
        <v>1.2999999999999999E-2</v>
      </c>
      <c r="BP3" s="2">
        <v>-0.44</v>
      </c>
      <c r="BQ3" s="2">
        <v>0.107</v>
      </c>
      <c r="BR3" s="2">
        <v>4.4999999999999998E-2</v>
      </c>
      <c r="BS3" s="2">
        <v>0.86499999999999999</v>
      </c>
      <c r="BT3" s="2">
        <v>0.02</v>
      </c>
      <c r="BU3" s="2">
        <v>8.9130000000000003</v>
      </c>
      <c r="BV3" s="2">
        <v>6.5000000000000002E-2</v>
      </c>
      <c r="BW3" s="2">
        <v>2.5000000000000001E-2</v>
      </c>
      <c r="BX3" s="2">
        <v>1.4999999999999999E-2</v>
      </c>
      <c r="BY3" s="2"/>
      <c r="BZ3" s="2"/>
    </row>
    <row r="4" spans="1:78" x14ac:dyDescent="0.3">
      <c r="A4" s="2"/>
      <c r="B4" s="2">
        <v>0.99</v>
      </c>
      <c r="C4" s="2">
        <v>8.4000000000000005E-2</v>
      </c>
      <c r="D4" s="2">
        <v>0.186</v>
      </c>
      <c r="E4" s="2">
        <v>3.2000000000000001E-2</v>
      </c>
      <c r="F4" s="2">
        <v>0</v>
      </c>
      <c r="G4" s="2">
        <v>0</v>
      </c>
      <c r="H4" s="2">
        <v>0</v>
      </c>
      <c r="I4" s="2">
        <v>0</v>
      </c>
      <c r="J4" s="2">
        <v>1E-3</v>
      </c>
      <c r="K4" s="2">
        <v>0</v>
      </c>
      <c r="L4" s="2">
        <v>1.8939999999999999</v>
      </c>
      <c r="M4" s="2">
        <v>1.55</v>
      </c>
      <c r="N4" s="2">
        <v>2.8159999999999998</v>
      </c>
      <c r="O4" s="2">
        <v>-0.315</v>
      </c>
      <c r="P4" s="2">
        <v>-0.30499999999999999</v>
      </c>
      <c r="Q4" s="2">
        <v>-0.32100000000000001</v>
      </c>
      <c r="R4" s="2">
        <v>2.1999999999999999E-2</v>
      </c>
      <c r="S4" s="2">
        <v>4.3999999999999997E-2</v>
      </c>
      <c r="T4" s="2">
        <v>6.0000000000000001E-3</v>
      </c>
      <c r="U4" s="2">
        <v>-0.93899999999999995</v>
      </c>
      <c r="V4" s="2">
        <v>-0.93400000000000005</v>
      </c>
      <c r="W4" s="2">
        <v>-0.94499999999999995</v>
      </c>
      <c r="X4" s="2">
        <v>-5.5E-2</v>
      </c>
      <c r="Y4" s="2">
        <v>1.0999999999999999E-2</v>
      </c>
      <c r="Z4" s="2">
        <v>-8.7999999999999995E-2</v>
      </c>
      <c r="AA4" s="2">
        <v>4.0000000000000001E-3</v>
      </c>
      <c r="AB4" s="2">
        <v>0.05</v>
      </c>
      <c r="AC4" s="2">
        <v>-9.7000000000000003E-2</v>
      </c>
      <c r="AD4" s="2">
        <v>-2.8000000000000001E-2</v>
      </c>
      <c r="AE4" s="2">
        <v>8.0000000000000002E-3</v>
      </c>
      <c r="AF4" s="2">
        <v>-5.5E-2</v>
      </c>
      <c r="AG4" s="2">
        <v>1.276</v>
      </c>
      <c r="AH4" s="2">
        <v>0.12</v>
      </c>
      <c r="AI4" s="2">
        <v>0.315</v>
      </c>
      <c r="AJ4" s="2">
        <v>2.5000000000000001E-2</v>
      </c>
      <c r="AK4" s="2">
        <v>0.93899999999999995</v>
      </c>
      <c r="AL4" s="2">
        <v>6.4000000000000001E-2</v>
      </c>
      <c r="AM4" s="2">
        <v>4.1000000000000002E-2</v>
      </c>
      <c r="AN4" s="2">
        <v>3.3000000000000002E-2</v>
      </c>
      <c r="AO4" s="2">
        <v>3.0000000000000001E-3</v>
      </c>
      <c r="AP4" s="2">
        <v>1.0999999999999999E-2</v>
      </c>
      <c r="AQ4" s="2">
        <v>2E-3</v>
      </c>
      <c r="AR4" s="2">
        <v>2.5999999999999999E-2</v>
      </c>
      <c r="AS4" s="2">
        <v>0.03</v>
      </c>
      <c r="AT4" s="2">
        <v>1.4E-2</v>
      </c>
      <c r="AU4" s="2">
        <v>0</v>
      </c>
      <c r="AV4" s="2">
        <v>0</v>
      </c>
      <c r="AW4" s="2">
        <v>0</v>
      </c>
      <c r="AX4" s="2">
        <v>1E-3</v>
      </c>
      <c r="AY4" s="2">
        <v>2E-3</v>
      </c>
      <c r="AZ4" s="2">
        <v>0</v>
      </c>
      <c r="BA4" s="2">
        <v>4.0000000000000001E-3</v>
      </c>
      <c r="BB4" s="2">
        <v>1.2999999999999999E-2</v>
      </c>
      <c r="BC4" s="2">
        <v>3.0000000000000001E-3</v>
      </c>
      <c r="BD4" s="2">
        <v>3.3000000000000002E-2</v>
      </c>
      <c r="BE4" s="2">
        <v>4.1000000000000002E-2</v>
      </c>
      <c r="BF4" s="2">
        <v>1.7999999999999999E-2</v>
      </c>
      <c r="BG4" s="2">
        <v>5.0000000000000001E-3</v>
      </c>
      <c r="BH4" s="2">
        <v>2.1000000000000001E-2</v>
      </c>
      <c r="BI4" s="2">
        <v>3.0000000000000001E-3</v>
      </c>
      <c r="BJ4" s="2">
        <v>0.03</v>
      </c>
      <c r="BK4" s="2">
        <v>2.4E-2</v>
      </c>
      <c r="BL4" s="2">
        <v>2.1000000000000001E-2</v>
      </c>
      <c r="BM4" s="2">
        <v>2.3E-2</v>
      </c>
      <c r="BN4" s="2">
        <v>-1.2E-2</v>
      </c>
      <c r="BO4" s="2">
        <v>-7.0000000000000001E-3</v>
      </c>
      <c r="BP4" s="2">
        <v>0.106</v>
      </c>
      <c r="BQ4" s="2">
        <v>-0.16700000000000001</v>
      </c>
      <c r="BR4" s="2">
        <v>4.1000000000000002E-2</v>
      </c>
      <c r="BS4" s="2">
        <v>0.99099999999999999</v>
      </c>
      <c r="BT4" s="2">
        <v>6.0000000000000001E-3</v>
      </c>
      <c r="BU4" s="2">
        <v>8.8140000000000001</v>
      </c>
      <c r="BV4" s="2">
        <v>4.1000000000000002E-2</v>
      </c>
      <c r="BW4" s="2">
        <v>1.7000000000000001E-2</v>
      </c>
      <c r="BX4" s="2">
        <v>1.0999999999999999E-2</v>
      </c>
      <c r="BY4" s="2"/>
      <c r="BZ4" s="2"/>
    </row>
    <row r="5" spans="1:78" x14ac:dyDescent="0.3">
      <c r="A5" s="2"/>
      <c r="B5" s="2">
        <v>0.99</v>
      </c>
      <c r="C5" s="2">
        <v>8.4000000000000005E-2</v>
      </c>
      <c r="D5" s="2">
        <v>0.25800000000000001</v>
      </c>
      <c r="E5" s="2">
        <v>2.5999999999999999E-2</v>
      </c>
      <c r="F5" s="2">
        <v>0</v>
      </c>
      <c r="G5" s="2">
        <v>0</v>
      </c>
      <c r="H5" s="2">
        <v>0</v>
      </c>
      <c r="I5" s="2">
        <v>1E-3</v>
      </c>
      <c r="J5" s="2">
        <v>0</v>
      </c>
      <c r="K5" s="2">
        <v>0</v>
      </c>
      <c r="L5" s="2">
        <v>1.889</v>
      </c>
      <c r="M5" s="2">
        <v>1.51</v>
      </c>
      <c r="N5" s="2">
        <v>2.8180000000000001</v>
      </c>
      <c r="O5" s="2">
        <v>-0.308</v>
      </c>
      <c r="P5" s="2">
        <v>-0.29699999999999999</v>
      </c>
      <c r="Q5" s="2">
        <v>-0.32700000000000001</v>
      </c>
      <c r="R5" s="2">
        <v>6.0999999999999999E-2</v>
      </c>
      <c r="S5" s="2">
        <v>8.2000000000000003E-2</v>
      </c>
      <c r="T5" s="2">
        <v>4.4999999999999998E-2</v>
      </c>
      <c r="U5" s="2">
        <v>-0.93899999999999995</v>
      </c>
      <c r="V5" s="2">
        <v>-0.92600000000000005</v>
      </c>
      <c r="W5" s="2">
        <v>-0.95899999999999996</v>
      </c>
      <c r="X5" s="2">
        <v>-2.1999999999999999E-2</v>
      </c>
      <c r="Y5" s="2">
        <v>5.8999999999999997E-2</v>
      </c>
      <c r="Z5" s="2">
        <v>-0.112</v>
      </c>
      <c r="AA5" s="2">
        <v>2.8000000000000001E-2</v>
      </c>
      <c r="AB5" s="2">
        <v>7.3999999999999996E-2</v>
      </c>
      <c r="AC5" s="2">
        <v>-1.7999999999999999E-2</v>
      </c>
      <c r="AD5" s="2">
        <v>-3.6999999999999998E-2</v>
      </c>
      <c r="AE5" s="2">
        <v>3.4000000000000002E-2</v>
      </c>
      <c r="AF5" s="2">
        <v>-8.8999999999999996E-2</v>
      </c>
      <c r="AG5" s="2">
        <v>1.3080000000000001</v>
      </c>
      <c r="AH5" s="2">
        <v>0.124</v>
      </c>
      <c r="AI5" s="2">
        <v>0.308</v>
      </c>
      <c r="AJ5" s="2">
        <v>6.2E-2</v>
      </c>
      <c r="AK5" s="2">
        <v>0.93899999999999995</v>
      </c>
      <c r="AL5" s="2">
        <v>5.2999999999999999E-2</v>
      </c>
      <c r="AM5" s="2">
        <v>3.7999999999999999E-2</v>
      </c>
      <c r="AN5" s="2">
        <v>5.8999999999999997E-2</v>
      </c>
      <c r="AO5" s="2">
        <v>7.0000000000000001E-3</v>
      </c>
      <c r="AP5" s="2">
        <v>8.9999999999999993E-3</v>
      </c>
      <c r="AQ5" s="2">
        <v>8.9999999999999993E-3</v>
      </c>
      <c r="AR5" s="2">
        <v>3.9E-2</v>
      </c>
      <c r="AS5" s="2">
        <v>0.02</v>
      </c>
      <c r="AT5" s="2">
        <v>4.2999999999999997E-2</v>
      </c>
      <c r="AU5" s="2">
        <v>0</v>
      </c>
      <c r="AV5" s="2">
        <v>0</v>
      </c>
      <c r="AW5" s="2">
        <v>0</v>
      </c>
      <c r="AX5" s="2">
        <v>2E-3</v>
      </c>
      <c r="AY5" s="2">
        <v>1E-3</v>
      </c>
      <c r="AZ5" s="2">
        <v>2E-3</v>
      </c>
      <c r="BA5" s="2">
        <v>8.9999999999999993E-3</v>
      </c>
      <c r="BB5" s="2">
        <v>1.0999999999999999E-2</v>
      </c>
      <c r="BC5" s="2">
        <v>0.01</v>
      </c>
      <c r="BD5" s="2">
        <v>4.8000000000000001E-2</v>
      </c>
      <c r="BE5" s="2">
        <v>2.5999999999999999E-2</v>
      </c>
      <c r="BF5" s="2">
        <v>4.5999999999999999E-2</v>
      </c>
      <c r="BG5" s="2">
        <v>1.0999999999999999E-2</v>
      </c>
      <c r="BH5" s="2">
        <v>1.4999999999999999E-2</v>
      </c>
      <c r="BI5" s="2">
        <v>1.6E-2</v>
      </c>
      <c r="BJ5" s="2">
        <v>4.7E-2</v>
      </c>
      <c r="BK5" s="2">
        <v>2.1999999999999999E-2</v>
      </c>
      <c r="BL5" s="2">
        <v>8.4000000000000005E-2</v>
      </c>
      <c r="BM5" s="2">
        <v>0</v>
      </c>
      <c r="BN5" s="2">
        <v>2E-3</v>
      </c>
      <c r="BO5" s="2">
        <v>5.0000000000000001E-3</v>
      </c>
      <c r="BP5" s="2">
        <v>0.06</v>
      </c>
      <c r="BQ5" s="2">
        <v>-0.115</v>
      </c>
      <c r="BR5" s="2">
        <v>3.6999999999999998E-2</v>
      </c>
      <c r="BS5" s="2">
        <v>0.94899999999999995</v>
      </c>
      <c r="BT5" s="2">
        <v>3.9E-2</v>
      </c>
      <c r="BU5" s="2">
        <v>8.8239999999999998</v>
      </c>
      <c r="BV5" s="2">
        <v>2.8000000000000001E-2</v>
      </c>
      <c r="BW5" s="2">
        <v>1.4999999999999999E-2</v>
      </c>
      <c r="BX5" s="2">
        <v>3.5000000000000003E-2</v>
      </c>
      <c r="BY5" s="2"/>
      <c r="BZ5" s="2"/>
    </row>
    <row r="6" spans="1:78" x14ac:dyDescent="0.3">
      <c r="A6" s="2"/>
      <c r="B6" s="2">
        <v>0.99099999999999999</v>
      </c>
      <c r="C6" s="2">
        <v>0.06</v>
      </c>
      <c r="D6" s="2">
        <v>0.158</v>
      </c>
      <c r="E6" s="2">
        <v>2.4E-2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1.877</v>
      </c>
      <c r="M6" s="2">
        <v>1.5569999999999999</v>
      </c>
      <c r="N6" s="2">
        <v>2.8340000000000001</v>
      </c>
      <c r="O6" s="2">
        <v>-0.29899999999999999</v>
      </c>
      <c r="P6" s="2">
        <v>-0.29499999999999998</v>
      </c>
      <c r="Q6" s="2">
        <v>-0.30599999999999999</v>
      </c>
      <c r="R6" s="2">
        <v>2.3E-2</v>
      </c>
      <c r="S6" s="2">
        <v>0.05</v>
      </c>
      <c r="T6" s="2">
        <v>8.9999999999999993E-3</v>
      </c>
      <c r="U6" s="2">
        <v>-0.94399999999999995</v>
      </c>
      <c r="V6" s="2">
        <v>-0.93700000000000006</v>
      </c>
      <c r="W6" s="2">
        <v>-0.95299999999999996</v>
      </c>
      <c r="X6" s="2">
        <v>1.6E-2</v>
      </c>
      <c r="Y6" s="2">
        <v>5.6000000000000001E-2</v>
      </c>
      <c r="Z6" s="2">
        <v>-1.6E-2</v>
      </c>
      <c r="AA6" s="2">
        <v>0.02</v>
      </c>
      <c r="AB6" s="2">
        <v>3.5000000000000003E-2</v>
      </c>
      <c r="AC6" s="2">
        <v>2E-3</v>
      </c>
      <c r="AD6" s="2">
        <v>-4.2999999999999997E-2</v>
      </c>
      <c r="AE6" s="2">
        <v>-6.0000000000000001E-3</v>
      </c>
      <c r="AF6" s="2">
        <v>-9.5000000000000001E-2</v>
      </c>
      <c r="AG6" s="2">
        <v>1.266</v>
      </c>
      <c r="AH6" s="2">
        <v>8.5999999999999993E-2</v>
      </c>
      <c r="AI6" s="2">
        <v>0.29899999999999999</v>
      </c>
      <c r="AJ6" s="2">
        <v>2.7E-2</v>
      </c>
      <c r="AK6" s="2">
        <v>0.94399999999999995</v>
      </c>
      <c r="AL6" s="2">
        <v>0.03</v>
      </c>
      <c r="AM6" s="2">
        <v>2.1999999999999999E-2</v>
      </c>
      <c r="AN6" s="2">
        <v>5.1999999999999998E-2</v>
      </c>
      <c r="AO6" s="2">
        <v>3.0000000000000001E-3</v>
      </c>
      <c r="AP6" s="2">
        <v>1.2999999999999999E-2</v>
      </c>
      <c r="AQ6" s="2">
        <v>4.0000000000000001E-3</v>
      </c>
      <c r="AR6" s="2">
        <v>2.3E-2</v>
      </c>
      <c r="AS6" s="2">
        <v>7.0000000000000001E-3</v>
      </c>
      <c r="AT6" s="2">
        <v>2.5000000000000001E-2</v>
      </c>
      <c r="AU6" s="2">
        <v>0</v>
      </c>
      <c r="AV6" s="2">
        <v>0</v>
      </c>
      <c r="AW6" s="2">
        <v>0</v>
      </c>
      <c r="AX6" s="2">
        <v>1E-3</v>
      </c>
      <c r="AY6" s="2">
        <v>0</v>
      </c>
      <c r="AZ6" s="2">
        <v>1E-3</v>
      </c>
      <c r="BA6" s="2">
        <v>3.0000000000000001E-3</v>
      </c>
      <c r="BB6" s="2">
        <v>1.4999999999999999E-2</v>
      </c>
      <c r="BC6" s="2">
        <v>5.0000000000000001E-3</v>
      </c>
      <c r="BD6" s="2">
        <v>2.5999999999999999E-2</v>
      </c>
      <c r="BE6" s="2">
        <v>8.9999999999999993E-3</v>
      </c>
      <c r="BF6" s="2">
        <v>0.03</v>
      </c>
      <c r="BG6" s="2">
        <v>4.0000000000000001E-3</v>
      </c>
      <c r="BH6" s="2">
        <v>2.4E-2</v>
      </c>
      <c r="BI6" s="2">
        <v>6.0000000000000001E-3</v>
      </c>
      <c r="BJ6" s="2">
        <v>4.2999999999999997E-2</v>
      </c>
      <c r="BK6" s="2">
        <v>0.01</v>
      </c>
      <c r="BL6" s="2">
        <v>5.0999999999999997E-2</v>
      </c>
      <c r="BM6" s="2">
        <v>-6.0000000000000001E-3</v>
      </c>
      <c r="BN6" s="2">
        <v>7.3999999999999996E-2</v>
      </c>
      <c r="BO6" s="2">
        <v>1.7999999999999999E-2</v>
      </c>
      <c r="BP6" s="2">
        <v>1.7000000000000001E-2</v>
      </c>
      <c r="BQ6" s="2">
        <v>2.5000000000000001E-2</v>
      </c>
      <c r="BR6" s="2">
        <v>-0.13100000000000001</v>
      </c>
      <c r="BS6" s="2">
        <v>0.89600000000000002</v>
      </c>
      <c r="BT6" s="2">
        <v>7.0000000000000001E-3</v>
      </c>
      <c r="BU6" s="2">
        <v>8.9169999999999998</v>
      </c>
      <c r="BV6" s="2">
        <v>8.9999999999999993E-3</v>
      </c>
      <c r="BW6" s="2">
        <v>5.0000000000000001E-3</v>
      </c>
      <c r="BX6" s="2">
        <v>2.7E-2</v>
      </c>
      <c r="BY6" s="2"/>
      <c r="BZ6" s="2"/>
    </row>
    <row r="7" spans="1:78" x14ac:dyDescent="0.3">
      <c r="A7" s="2"/>
      <c r="B7" s="2">
        <v>0.99099999999999999</v>
      </c>
      <c r="C7" s="2">
        <v>5.7000000000000002E-2</v>
      </c>
      <c r="D7" s="2">
        <v>0.13400000000000001</v>
      </c>
      <c r="E7" s="2">
        <v>0.02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1.8680000000000001</v>
      </c>
      <c r="M7" s="2">
        <v>1.5620000000000001</v>
      </c>
      <c r="N7" s="2">
        <v>2.8439999999999999</v>
      </c>
      <c r="O7" s="2">
        <v>-0.28899999999999998</v>
      </c>
      <c r="P7" s="2">
        <v>-0.27900000000000003</v>
      </c>
      <c r="Q7" s="2">
        <v>-0.29599999999999999</v>
      </c>
      <c r="R7" s="2">
        <v>1.4999999999999999E-2</v>
      </c>
      <c r="S7" s="2">
        <v>3.9E-2</v>
      </c>
      <c r="T7" s="2">
        <v>3.0000000000000001E-3</v>
      </c>
      <c r="U7" s="2">
        <v>-0.94699999999999995</v>
      </c>
      <c r="V7" s="2">
        <v>-0.94</v>
      </c>
      <c r="W7" s="2">
        <v>-0.95099999999999996</v>
      </c>
      <c r="X7" s="2">
        <v>-4.2999999999999997E-2</v>
      </c>
      <c r="Y7" s="2">
        <v>1.6E-2</v>
      </c>
      <c r="Z7" s="2">
        <v>-8.5999999999999993E-2</v>
      </c>
      <c r="AA7" s="2">
        <v>2.1999999999999999E-2</v>
      </c>
      <c r="AB7" s="2">
        <v>3.9E-2</v>
      </c>
      <c r="AC7" s="2">
        <v>6.0000000000000001E-3</v>
      </c>
      <c r="AD7" s="2">
        <v>-1.2E-2</v>
      </c>
      <c r="AE7" s="2">
        <v>5.0000000000000001E-3</v>
      </c>
      <c r="AF7" s="2">
        <v>-2.7E-2</v>
      </c>
      <c r="AG7" s="2">
        <v>1.25</v>
      </c>
      <c r="AH7" s="2">
        <v>8.5000000000000006E-2</v>
      </c>
      <c r="AI7" s="2">
        <v>0.28899999999999998</v>
      </c>
      <c r="AJ7" s="2">
        <v>0.02</v>
      </c>
      <c r="AK7" s="2">
        <v>0.94699999999999995</v>
      </c>
      <c r="AL7" s="2">
        <v>5.6000000000000001E-2</v>
      </c>
      <c r="AM7" s="2">
        <v>2.5000000000000001E-2</v>
      </c>
      <c r="AN7" s="2">
        <v>1.7000000000000001E-2</v>
      </c>
      <c r="AO7" s="2">
        <v>3.0000000000000001E-3</v>
      </c>
      <c r="AP7" s="2">
        <v>1.0999999999999999E-2</v>
      </c>
      <c r="AQ7" s="2">
        <v>3.0000000000000001E-3</v>
      </c>
      <c r="AR7" s="2">
        <v>3.1E-2</v>
      </c>
      <c r="AS7" s="2">
        <v>8.9999999999999993E-3</v>
      </c>
      <c r="AT7" s="2">
        <v>8.9999999999999993E-3</v>
      </c>
      <c r="AU7" s="2">
        <v>0</v>
      </c>
      <c r="AV7" s="2">
        <v>0</v>
      </c>
      <c r="AW7" s="2">
        <v>0</v>
      </c>
      <c r="AX7" s="2">
        <v>1E-3</v>
      </c>
      <c r="AY7" s="2">
        <v>0</v>
      </c>
      <c r="AZ7" s="2">
        <v>0</v>
      </c>
      <c r="BA7" s="2">
        <v>4.0000000000000001E-3</v>
      </c>
      <c r="BB7" s="2">
        <v>1.2999999999999999E-2</v>
      </c>
      <c r="BC7" s="2">
        <v>4.0000000000000001E-3</v>
      </c>
      <c r="BD7" s="2">
        <v>3.5999999999999997E-2</v>
      </c>
      <c r="BE7" s="2">
        <v>0.01</v>
      </c>
      <c r="BF7" s="2">
        <v>1.0999999999999999E-2</v>
      </c>
      <c r="BG7" s="2">
        <v>4.0000000000000001E-3</v>
      </c>
      <c r="BH7" s="2">
        <v>1.9E-2</v>
      </c>
      <c r="BI7" s="2">
        <v>6.0000000000000001E-3</v>
      </c>
      <c r="BJ7" s="2">
        <v>5.6000000000000001E-2</v>
      </c>
      <c r="BK7" s="2">
        <v>1.7000000000000001E-2</v>
      </c>
      <c r="BL7" s="2">
        <v>2.1000000000000001E-2</v>
      </c>
      <c r="BM7" s="2">
        <v>-1.4999999999999999E-2</v>
      </c>
      <c r="BN7" s="2">
        <v>0.03</v>
      </c>
      <c r="BO7" s="2">
        <v>1.2999999999999999E-2</v>
      </c>
      <c r="BP7" s="2">
        <v>0.17499999999999999</v>
      </c>
      <c r="BQ7" s="2">
        <v>2.1999999999999999E-2</v>
      </c>
      <c r="BR7" s="2">
        <v>4.0000000000000001E-3</v>
      </c>
      <c r="BS7" s="2">
        <v>0.83499999999999996</v>
      </c>
      <c r="BT7" s="2">
        <v>4.0000000000000001E-3</v>
      </c>
      <c r="BU7" s="2">
        <v>8.9629999999999992</v>
      </c>
      <c r="BV7" s="2">
        <v>3.2000000000000001E-2</v>
      </c>
      <c r="BW7" s="2">
        <v>6.0000000000000001E-3</v>
      </c>
      <c r="BX7" s="2">
        <v>3.0000000000000001E-3</v>
      </c>
      <c r="BY7" s="2"/>
      <c r="BZ7" s="2"/>
    </row>
    <row r="8" spans="1:78" x14ac:dyDescent="0.3">
      <c r="A8" s="2"/>
      <c r="B8" s="2">
        <v>0.99099999999999999</v>
      </c>
      <c r="C8" s="2">
        <v>3.2000000000000001E-2</v>
      </c>
      <c r="D8" s="2">
        <v>0.214</v>
      </c>
      <c r="E8" s="2">
        <v>1.7999999999999999E-2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1.8620000000000001</v>
      </c>
      <c r="M8" s="2">
        <v>1.534</v>
      </c>
      <c r="N8" s="2">
        <v>2.8479999999999999</v>
      </c>
      <c r="O8" s="2">
        <v>-0.28299999999999997</v>
      </c>
      <c r="P8" s="2">
        <v>-0.27400000000000002</v>
      </c>
      <c r="Q8" s="2">
        <v>-0.28699999999999998</v>
      </c>
      <c r="R8" s="2">
        <v>3.5999999999999997E-2</v>
      </c>
      <c r="S8" s="2">
        <v>4.2000000000000003E-2</v>
      </c>
      <c r="T8" s="2">
        <v>2.5999999999999999E-2</v>
      </c>
      <c r="U8" s="2">
        <v>-0.94799999999999995</v>
      </c>
      <c r="V8" s="2">
        <v>-0.93700000000000006</v>
      </c>
      <c r="W8" s="2">
        <v>-0.95399999999999996</v>
      </c>
      <c r="X8" s="2">
        <v>-1.2999999999999999E-2</v>
      </c>
      <c r="Y8" s="2">
        <v>1.4E-2</v>
      </c>
      <c r="Z8" s="2">
        <v>-3.1E-2</v>
      </c>
      <c r="AA8" s="2">
        <v>2.1000000000000001E-2</v>
      </c>
      <c r="AB8" s="2">
        <v>2.9000000000000001E-2</v>
      </c>
      <c r="AC8" s="2">
        <v>1.7000000000000001E-2</v>
      </c>
      <c r="AD8" s="2">
        <v>-0.02</v>
      </c>
      <c r="AE8" s="2">
        <v>-0.01</v>
      </c>
      <c r="AF8" s="2">
        <v>-3.2000000000000001E-2</v>
      </c>
      <c r="AG8" s="2">
        <v>1.2669999999999999</v>
      </c>
      <c r="AH8" s="2">
        <v>5.8000000000000003E-2</v>
      </c>
      <c r="AI8" s="2">
        <v>0.28299999999999997</v>
      </c>
      <c r="AJ8" s="2">
        <v>3.5999999999999997E-2</v>
      </c>
      <c r="AK8" s="2">
        <v>0.94799999999999995</v>
      </c>
      <c r="AL8" s="2">
        <v>1.7999999999999999E-2</v>
      </c>
      <c r="AM8" s="2">
        <v>2.1000000000000001E-2</v>
      </c>
      <c r="AN8" s="2">
        <v>2.1000000000000001E-2</v>
      </c>
      <c r="AO8" s="2">
        <v>4.0000000000000001E-3</v>
      </c>
      <c r="AP8" s="2">
        <v>5.0000000000000001E-3</v>
      </c>
      <c r="AQ8" s="2">
        <v>3.0000000000000001E-3</v>
      </c>
      <c r="AR8" s="2">
        <v>0.01</v>
      </c>
      <c r="AS8" s="2">
        <v>4.0000000000000001E-3</v>
      </c>
      <c r="AT8" s="2">
        <v>5.0000000000000001E-3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4.0000000000000001E-3</v>
      </c>
      <c r="BB8" s="2">
        <v>6.0000000000000001E-3</v>
      </c>
      <c r="BC8" s="2">
        <v>5.0000000000000001E-3</v>
      </c>
      <c r="BD8" s="2">
        <v>1.2999999999999999E-2</v>
      </c>
      <c r="BE8" s="2">
        <v>4.0000000000000001E-3</v>
      </c>
      <c r="BF8" s="2">
        <v>6.0000000000000001E-3</v>
      </c>
      <c r="BG8" s="2">
        <v>6.0000000000000001E-3</v>
      </c>
      <c r="BH8" s="2">
        <v>8.9999999999999993E-3</v>
      </c>
      <c r="BI8" s="2">
        <v>5.0000000000000001E-3</v>
      </c>
      <c r="BJ8" s="2">
        <v>1.7000000000000001E-2</v>
      </c>
      <c r="BK8" s="2">
        <v>7.0000000000000001E-3</v>
      </c>
      <c r="BL8" s="2">
        <v>6.0000000000000001E-3</v>
      </c>
      <c r="BM8" s="2">
        <v>-5.0000000000000001E-3</v>
      </c>
      <c r="BN8" s="2">
        <v>5.0000000000000001E-3</v>
      </c>
      <c r="BO8" s="2">
        <v>-6.0000000000000001E-3</v>
      </c>
      <c r="BP8" s="2">
        <v>3.3000000000000002E-2</v>
      </c>
      <c r="BQ8" s="2">
        <v>-1.4999999999999999E-2</v>
      </c>
      <c r="BR8" s="2">
        <v>1.7999999999999999E-2</v>
      </c>
      <c r="BS8" s="2">
        <v>0.80100000000000005</v>
      </c>
      <c r="BT8" s="2">
        <v>1.2999999999999999E-2</v>
      </c>
      <c r="BU8" s="2">
        <v>8.9870000000000001</v>
      </c>
      <c r="BV8" s="2">
        <v>3.0000000000000001E-3</v>
      </c>
      <c r="BW8" s="2">
        <v>5.0000000000000001E-3</v>
      </c>
      <c r="BX8" s="2">
        <v>4.0000000000000001E-3</v>
      </c>
      <c r="BY8" s="2"/>
      <c r="BZ8" s="2"/>
    </row>
    <row r="9" spans="1:78" x14ac:dyDescent="0.3">
      <c r="A9" s="2"/>
      <c r="B9" s="2">
        <v>0.99</v>
      </c>
      <c r="C9" s="2">
        <v>2.5999999999999999E-2</v>
      </c>
      <c r="D9" s="2">
        <v>0.20799999999999999</v>
      </c>
      <c r="E9" s="2">
        <v>1.4E-2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1.8580000000000001</v>
      </c>
      <c r="M9" s="2">
        <v>1.536</v>
      </c>
      <c r="N9" s="2">
        <v>2.8530000000000002</v>
      </c>
      <c r="O9" s="2">
        <v>-0.28000000000000003</v>
      </c>
      <c r="P9" s="2">
        <v>-0.27300000000000002</v>
      </c>
      <c r="Q9" s="2">
        <v>-0.28699999999999998</v>
      </c>
      <c r="R9" s="2">
        <v>3.3000000000000002E-2</v>
      </c>
      <c r="S9" s="2">
        <v>0.04</v>
      </c>
      <c r="T9" s="2">
        <v>0.02</v>
      </c>
      <c r="U9" s="2">
        <v>-0.95</v>
      </c>
      <c r="V9" s="2">
        <v>-0.94599999999999995</v>
      </c>
      <c r="W9" s="2">
        <v>-0.95599999999999996</v>
      </c>
      <c r="X9" s="2">
        <v>-1.9E-2</v>
      </c>
      <c r="Y9" s="2">
        <v>-4.0000000000000001E-3</v>
      </c>
      <c r="Z9" s="2">
        <v>-5.2999999999999999E-2</v>
      </c>
      <c r="AA9" s="2">
        <v>2E-3</v>
      </c>
      <c r="AB9" s="2">
        <v>1.4E-2</v>
      </c>
      <c r="AC9" s="2">
        <v>-2.1999999999999999E-2</v>
      </c>
      <c r="AD9" s="2">
        <v>-8.9999999999999993E-3</v>
      </c>
      <c r="AE9" s="2">
        <v>2.5999999999999999E-2</v>
      </c>
      <c r="AF9" s="2">
        <v>-0.02</v>
      </c>
      <c r="AG9" s="2">
        <v>1.264</v>
      </c>
      <c r="AH9" s="2">
        <v>4.5999999999999999E-2</v>
      </c>
      <c r="AI9" s="2">
        <v>0.28000000000000003</v>
      </c>
      <c r="AJ9" s="2">
        <v>3.4000000000000002E-2</v>
      </c>
      <c r="AK9" s="2">
        <v>0.95</v>
      </c>
      <c r="AL9" s="2">
        <v>2.3E-2</v>
      </c>
      <c r="AM9" s="2">
        <v>1.4E-2</v>
      </c>
      <c r="AN9" s="2">
        <v>1.7000000000000001E-2</v>
      </c>
      <c r="AO9" s="2">
        <v>2E-3</v>
      </c>
      <c r="AP9" s="2">
        <v>4.0000000000000001E-3</v>
      </c>
      <c r="AQ9" s="2">
        <v>2E-3</v>
      </c>
      <c r="AR9" s="2">
        <v>8.0000000000000002E-3</v>
      </c>
      <c r="AS9" s="2">
        <v>1.0999999999999999E-2</v>
      </c>
      <c r="AT9" s="2">
        <v>1.0999999999999999E-2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3.0000000000000001E-3</v>
      </c>
      <c r="BB9" s="2">
        <v>5.0000000000000001E-3</v>
      </c>
      <c r="BC9" s="2">
        <v>3.0000000000000001E-3</v>
      </c>
      <c r="BD9" s="2">
        <v>1.2E-2</v>
      </c>
      <c r="BE9" s="2">
        <v>1.2999999999999999E-2</v>
      </c>
      <c r="BF9" s="2">
        <v>1.4E-2</v>
      </c>
      <c r="BG9" s="2">
        <v>4.0000000000000001E-3</v>
      </c>
      <c r="BH9" s="2">
        <v>5.0000000000000001E-3</v>
      </c>
      <c r="BI9" s="2">
        <v>4.0000000000000001E-3</v>
      </c>
      <c r="BJ9" s="2">
        <v>6.0000000000000001E-3</v>
      </c>
      <c r="BK9" s="2">
        <v>1.4E-2</v>
      </c>
      <c r="BL9" s="2">
        <v>1.7000000000000001E-2</v>
      </c>
      <c r="BM9" s="2">
        <v>5.0000000000000001E-3</v>
      </c>
      <c r="BN9" s="2">
        <v>5.0000000000000001E-3</v>
      </c>
      <c r="BO9" s="2">
        <v>-3.0000000000000001E-3</v>
      </c>
      <c r="BP9" s="2">
        <v>-4.2000000000000003E-2</v>
      </c>
      <c r="BQ9" s="2">
        <v>-2.7E-2</v>
      </c>
      <c r="BR9" s="2">
        <v>-1.4E-2</v>
      </c>
      <c r="BS9" s="2">
        <v>0.78400000000000003</v>
      </c>
      <c r="BT9" s="2">
        <v>1.0999999999999999E-2</v>
      </c>
      <c r="BU9" s="2">
        <v>9.0310000000000006</v>
      </c>
      <c r="BV9" s="2">
        <v>5.0000000000000001E-3</v>
      </c>
      <c r="BW9" s="2">
        <v>2E-3</v>
      </c>
      <c r="BX9" s="2">
        <v>3.0000000000000001E-3</v>
      </c>
      <c r="BY9" s="2"/>
      <c r="BZ9" s="2"/>
    </row>
    <row r="10" spans="1:78" x14ac:dyDescent="0.3">
      <c r="A10" s="2"/>
      <c r="B10" s="2">
        <v>0.99</v>
      </c>
      <c r="C10" s="2">
        <v>0.06</v>
      </c>
      <c r="D10" s="2">
        <v>0.251</v>
      </c>
      <c r="E10" s="2">
        <v>2.5000000000000001E-2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1.8919999999999999</v>
      </c>
      <c r="M10" s="2">
        <v>1.5149999999999999</v>
      </c>
      <c r="N10" s="2">
        <v>2.8140000000000001</v>
      </c>
      <c r="O10" s="2">
        <v>-0.311</v>
      </c>
      <c r="P10" s="2">
        <v>-0.28699999999999998</v>
      </c>
      <c r="Q10" s="2">
        <v>-0.32400000000000001</v>
      </c>
      <c r="R10" s="2">
        <v>5.0999999999999997E-2</v>
      </c>
      <c r="S10" s="2">
        <v>6.7000000000000004E-2</v>
      </c>
      <c r="T10" s="2">
        <v>2.7E-2</v>
      </c>
      <c r="U10" s="2">
        <v>-0.93799999999999994</v>
      </c>
      <c r="V10" s="2">
        <v>-0.92400000000000004</v>
      </c>
      <c r="W10" s="2">
        <v>-0.95</v>
      </c>
      <c r="X10" s="2">
        <v>-3.6999999999999998E-2</v>
      </c>
      <c r="Y10" s="2">
        <v>-8.9999999999999993E-3</v>
      </c>
      <c r="Z10" s="2">
        <v>-7.0000000000000007E-2</v>
      </c>
      <c r="AA10" s="2">
        <v>-1.4E-2</v>
      </c>
      <c r="AB10" s="2">
        <v>0.05</v>
      </c>
      <c r="AC10" s="2">
        <v>-6.8000000000000005E-2</v>
      </c>
      <c r="AD10" s="2">
        <v>-2.4E-2</v>
      </c>
      <c r="AE10" s="2">
        <v>1.0999999999999999E-2</v>
      </c>
      <c r="AF10" s="2">
        <v>-6.7000000000000004E-2</v>
      </c>
      <c r="AG10" s="2">
        <v>1.3</v>
      </c>
      <c r="AH10" s="2">
        <v>9.5000000000000001E-2</v>
      </c>
      <c r="AI10" s="2">
        <v>0.311</v>
      </c>
      <c r="AJ10" s="2">
        <v>5.2999999999999999E-2</v>
      </c>
      <c r="AK10" s="2">
        <v>0.93799999999999994</v>
      </c>
      <c r="AL10" s="2">
        <v>4.1000000000000002E-2</v>
      </c>
      <c r="AM10" s="2">
        <v>3.6999999999999998E-2</v>
      </c>
      <c r="AN10" s="2">
        <v>3.2000000000000001E-2</v>
      </c>
      <c r="AO10" s="2">
        <v>0.01</v>
      </c>
      <c r="AP10" s="2">
        <v>8.9999999999999993E-3</v>
      </c>
      <c r="AQ10" s="2">
        <v>7.0000000000000001E-3</v>
      </c>
      <c r="AR10" s="2">
        <v>1.4E-2</v>
      </c>
      <c r="AS10" s="2">
        <v>2.7E-2</v>
      </c>
      <c r="AT10" s="2">
        <v>1.6E-2</v>
      </c>
      <c r="AU10" s="2">
        <v>0</v>
      </c>
      <c r="AV10" s="2">
        <v>0</v>
      </c>
      <c r="AW10" s="2">
        <v>0</v>
      </c>
      <c r="AX10" s="2">
        <v>0</v>
      </c>
      <c r="AY10" s="2">
        <v>1E-3</v>
      </c>
      <c r="AZ10" s="2">
        <v>0</v>
      </c>
      <c r="BA10" s="2">
        <v>1.0999999999999999E-2</v>
      </c>
      <c r="BB10" s="2">
        <v>1.0999999999999999E-2</v>
      </c>
      <c r="BC10" s="2">
        <v>8.0000000000000002E-3</v>
      </c>
      <c r="BD10" s="2">
        <v>1.7999999999999999E-2</v>
      </c>
      <c r="BE10" s="2">
        <v>3.4000000000000002E-2</v>
      </c>
      <c r="BF10" s="2">
        <v>2.1000000000000001E-2</v>
      </c>
      <c r="BG10" s="2">
        <v>1.6E-2</v>
      </c>
      <c r="BH10" s="2">
        <v>1.0999999999999999E-2</v>
      </c>
      <c r="BI10" s="2">
        <v>1.2999999999999999E-2</v>
      </c>
      <c r="BJ10" s="2">
        <v>2.1999999999999999E-2</v>
      </c>
      <c r="BK10" s="2">
        <v>3.3000000000000002E-2</v>
      </c>
      <c r="BL10" s="2">
        <v>1.4E-2</v>
      </c>
      <c r="BM10" s="2">
        <v>4.9000000000000002E-2</v>
      </c>
      <c r="BN10" s="2">
        <v>3.5999999999999997E-2</v>
      </c>
      <c r="BO10" s="2">
        <v>-1.0999999999999999E-2</v>
      </c>
      <c r="BP10" s="2">
        <v>4.2000000000000003E-2</v>
      </c>
      <c r="BQ10" s="2">
        <v>-1.6E-2</v>
      </c>
      <c r="BR10" s="2">
        <v>8.0000000000000002E-3</v>
      </c>
      <c r="BS10" s="2">
        <v>0.96799999999999997</v>
      </c>
      <c r="BT10" s="2">
        <v>2.8000000000000001E-2</v>
      </c>
      <c r="BU10" s="2">
        <v>8.8030000000000008</v>
      </c>
      <c r="BV10" s="2">
        <v>1.7000000000000001E-2</v>
      </c>
      <c r="BW10" s="2">
        <v>1.4E-2</v>
      </c>
      <c r="BX10" s="2">
        <v>0.01</v>
      </c>
      <c r="BY10" s="2"/>
      <c r="BZ10" s="2"/>
    </row>
    <row r="11" spans="1:78" s="2" customFormat="1" x14ac:dyDescent="0.3">
      <c r="B11" s="2">
        <v>0.99</v>
      </c>
      <c r="C11" s="2">
        <v>0.06</v>
      </c>
      <c r="D11" s="2">
        <v>0.24399999999999999</v>
      </c>
      <c r="E11" s="2">
        <v>1.9E-2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1.8979999999999999</v>
      </c>
      <c r="M11" s="2">
        <v>1.522</v>
      </c>
      <c r="N11" s="2">
        <v>2.81</v>
      </c>
      <c r="O11" s="2">
        <v>-0.32</v>
      </c>
      <c r="P11" s="2">
        <v>-0.311</v>
      </c>
      <c r="Q11" s="2">
        <v>-0.32900000000000001</v>
      </c>
      <c r="R11" s="2">
        <v>4.7E-2</v>
      </c>
      <c r="S11" s="2">
        <v>6.0999999999999999E-2</v>
      </c>
      <c r="T11" s="2">
        <v>3.1E-2</v>
      </c>
      <c r="U11" s="2">
        <v>-0.93600000000000005</v>
      </c>
      <c r="V11" s="2">
        <v>-0.92900000000000005</v>
      </c>
      <c r="W11" s="2">
        <v>-0.94099999999999995</v>
      </c>
      <c r="X11" s="2">
        <v>-2.8000000000000001E-2</v>
      </c>
      <c r="Y11" s="2">
        <v>0.01</v>
      </c>
      <c r="Z11" s="2">
        <v>-5.1999999999999998E-2</v>
      </c>
      <c r="AA11" s="2">
        <v>1.2E-2</v>
      </c>
      <c r="AB11" s="2">
        <v>4.9000000000000002E-2</v>
      </c>
      <c r="AC11" s="2">
        <v>-0.01</v>
      </c>
      <c r="AD11" s="2">
        <v>-4.9000000000000002E-2</v>
      </c>
      <c r="AE11" s="2">
        <v>-2E-3</v>
      </c>
      <c r="AF11" s="2">
        <v>-0.13200000000000001</v>
      </c>
      <c r="AG11" s="2">
        <v>1.3029999999999999</v>
      </c>
      <c r="AH11" s="2">
        <v>9.6000000000000002E-2</v>
      </c>
      <c r="AI11" s="2">
        <v>0.32</v>
      </c>
      <c r="AJ11" s="2">
        <v>4.8000000000000001E-2</v>
      </c>
      <c r="AK11" s="2">
        <v>0.93600000000000005</v>
      </c>
      <c r="AL11" s="2">
        <v>3.5000000000000003E-2</v>
      </c>
      <c r="AM11" s="2">
        <v>2.1000000000000001E-2</v>
      </c>
      <c r="AN11" s="2">
        <v>6.8000000000000005E-2</v>
      </c>
      <c r="AO11" s="2">
        <v>5.0000000000000001E-3</v>
      </c>
      <c r="AP11" s="2">
        <v>8.9999999999999993E-3</v>
      </c>
      <c r="AQ11" s="2">
        <v>3.0000000000000001E-3</v>
      </c>
      <c r="AR11" s="2">
        <v>1.9E-2</v>
      </c>
      <c r="AS11" s="2">
        <v>1.4999999999999999E-2</v>
      </c>
      <c r="AT11" s="2">
        <v>4.2000000000000003E-2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2E-3</v>
      </c>
      <c r="BA11" s="2">
        <v>6.0000000000000001E-3</v>
      </c>
      <c r="BB11" s="2">
        <v>0.01</v>
      </c>
      <c r="BC11" s="2">
        <v>4.0000000000000001E-3</v>
      </c>
      <c r="BD11" s="2">
        <v>2.1999999999999999E-2</v>
      </c>
      <c r="BE11" s="2">
        <v>1.7999999999999999E-2</v>
      </c>
      <c r="BF11" s="2">
        <v>4.7E-2</v>
      </c>
      <c r="BG11" s="2">
        <v>8.9999999999999993E-3</v>
      </c>
      <c r="BH11" s="2">
        <v>1.6E-2</v>
      </c>
      <c r="BI11" s="2">
        <v>4.0000000000000001E-3</v>
      </c>
      <c r="BJ11" s="2">
        <v>3.3000000000000002E-2</v>
      </c>
      <c r="BK11" s="2">
        <v>2.5999999999999999E-2</v>
      </c>
      <c r="BL11" s="2">
        <v>7.9000000000000001E-2</v>
      </c>
      <c r="BM11" s="2">
        <v>-3.0000000000000001E-3</v>
      </c>
      <c r="BN11" s="2">
        <v>6.3E-2</v>
      </c>
      <c r="BO11" s="2">
        <v>5.0000000000000001E-3</v>
      </c>
      <c r="BP11" s="2">
        <v>-0.02</v>
      </c>
      <c r="BQ11" s="2">
        <v>-3.0000000000000001E-3</v>
      </c>
      <c r="BR11" s="2">
        <v>-0.193</v>
      </c>
      <c r="BS11" s="2">
        <v>1.0229999999999999</v>
      </c>
      <c r="BT11" s="2">
        <v>2.3E-2</v>
      </c>
      <c r="BU11" s="2">
        <v>8.7669999999999995</v>
      </c>
      <c r="BV11" s="2">
        <v>1.2E-2</v>
      </c>
      <c r="BW11" s="2">
        <v>5.0000000000000001E-3</v>
      </c>
      <c r="BX11" s="2">
        <v>4.5999999999999999E-2</v>
      </c>
    </row>
    <row r="12" spans="1:78" x14ac:dyDescent="0.3">
      <c r="BX12" s="2"/>
      <c r="BY12" s="2"/>
      <c r="BZ12" s="2"/>
    </row>
    <row r="13" spans="1:78" x14ac:dyDescent="0.3">
      <c r="A13" s="1" t="s">
        <v>1</v>
      </c>
      <c r="B13" s="2" t="s">
        <v>3</v>
      </c>
      <c r="C13" s="2" t="s">
        <v>4</v>
      </c>
      <c r="D13" s="2" t="s">
        <v>5</v>
      </c>
      <c r="E13" s="2" t="s">
        <v>6</v>
      </c>
      <c r="F13" s="2" t="s">
        <v>7</v>
      </c>
      <c r="G13" s="2" t="s">
        <v>8</v>
      </c>
      <c r="H13" s="2" t="s">
        <v>9</v>
      </c>
      <c r="I13" s="2" t="s">
        <v>10</v>
      </c>
      <c r="J13" s="2" t="s">
        <v>11</v>
      </c>
      <c r="K13" s="2" t="s">
        <v>12</v>
      </c>
      <c r="L13" s="2" t="s">
        <v>13</v>
      </c>
      <c r="M13" s="2" t="s">
        <v>14</v>
      </c>
      <c r="N13" s="2" t="s">
        <v>15</v>
      </c>
      <c r="O13" s="2" t="s">
        <v>16</v>
      </c>
      <c r="P13" s="2" t="s">
        <v>17</v>
      </c>
      <c r="Q13" s="2" t="s">
        <v>18</v>
      </c>
      <c r="R13" s="2" t="s">
        <v>19</v>
      </c>
      <c r="S13" s="2" t="s">
        <v>20</v>
      </c>
      <c r="T13" s="2" t="s">
        <v>21</v>
      </c>
      <c r="U13" s="2" t="s">
        <v>22</v>
      </c>
      <c r="V13" s="2" t="s">
        <v>23</v>
      </c>
      <c r="W13" s="2" t="s">
        <v>24</v>
      </c>
      <c r="X13" s="2" t="s">
        <v>25</v>
      </c>
      <c r="Y13" s="2" t="s">
        <v>26</v>
      </c>
      <c r="Z13" s="2" t="s">
        <v>27</v>
      </c>
      <c r="AA13" s="2" t="s">
        <v>28</v>
      </c>
      <c r="AB13" s="2" t="s">
        <v>29</v>
      </c>
      <c r="AC13" s="2" t="s">
        <v>30</v>
      </c>
      <c r="AD13" s="2" t="s">
        <v>31</v>
      </c>
      <c r="AE13" s="2" t="s">
        <v>32</v>
      </c>
      <c r="AF13" s="2" t="s">
        <v>33</v>
      </c>
      <c r="AG13" s="2" t="s">
        <v>34</v>
      </c>
      <c r="AH13" s="2" t="s">
        <v>35</v>
      </c>
      <c r="AI13" s="2" t="s">
        <v>36</v>
      </c>
      <c r="AJ13" s="2" t="s">
        <v>37</v>
      </c>
      <c r="AK13" s="2" t="s">
        <v>38</v>
      </c>
      <c r="AL13" s="2" t="s">
        <v>39</v>
      </c>
      <c r="AM13" s="2" t="s">
        <v>40</v>
      </c>
      <c r="AN13" s="2" t="s">
        <v>41</v>
      </c>
      <c r="AO13" s="2" t="s">
        <v>42</v>
      </c>
      <c r="AP13" s="2" t="s">
        <v>43</v>
      </c>
      <c r="AQ13" s="2" t="s">
        <v>44</v>
      </c>
      <c r="AR13" s="2" t="s">
        <v>45</v>
      </c>
      <c r="AS13" s="2" t="s">
        <v>46</v>
      </c>
      <c r="AT13" s="2" t="s">
        <v>47</v>
      </c>
      <c r="AU13" s="2" t="s">
        <v>48</v>
      </c>
      <c r="AV13" s="2" t="s">
        <v>49</v>
      </c>
      <c r="AW13" s="2" t="s">
        <v>50</v>
      </c>
      <c r="AX13" s="2" t="s">
        <v>51</v>
      </c>
      <c r="AY13" s="2" t="s">
        <v>52</v>
      </c>
      <c r="AZ13" s="2" t="s">
        <v>53</v>
      </c>
      <c r="BA13" s="2" t="s">
        <v>54</v>
      </c>
      <c r="BB13" s="2" t="s">
        <v>55</v>
      </c>
      <c r="BC13" s="2" t="s">
        <v>56</v>
      </c>
      <c r="BD13" s="2" t="s">
        <v>57</v>
      </c>
      <c r="BE13" s="2" t="s">
        <v>58</v>
      </c>
      <c r="BF13" s="2" t="s">
        <v>59</v>
      </c>
      <c r="BG13" s="2" t="s">
        <v>60</v>
      </c>
      <c r="BH13" s="2" t="s">
        <v>61</v>
      </c>
      <c r="BI13" s="2" t="s">
        <v>62</v>
      </c>
      <c r="BJ13" s="2" t="s">
        <v>63</v>
      </c>
      <c r="BK13" s="2" t="s">
        <v>64</v>
      </c>
      <c r="BL13" s="2" t="s">
        <v>65</v>
      </c>
      <c r="BM13" s="2" t="s">
        <v>66</v>
      </c>
      <c r="BN13" s="2" t="s">
        <v>67</v>
      </c>
      <c r="BO13" s="2" t="s">
        <v>68</v>
      </c>
      <c r="BP13" s="2" t="s">
        <v>69</v>
      </c>
      <c r="BQ13" s="2" t="s">
        <v>70</v>
      </c>
      <c r="BR13" s="2" t="s">
        <v>71</v>
      </c>
      <c r="BS13" s="2" t="s">
        <v>72</v>
      </c>
      <c r="BT13" s="2" t="s">
        <v>73</v>
      </c>
      <c r="BU13" s="2" t="s">
        <v>74</v>
      </c>
      <c r="BV13" s="2" t="s">
        <v>75</v>
      </c>
      <c r="BW13" s="2" t="s">
        <v>76</v>
      </c>
      <c r="BX13" s="2" t="s">
        <v>77</v>
      </c>
      <c r="BY13" s="2"/>
      <c r="BZ13" s="2"/>
    </row>
    <row r="14" spans="1:78" x14ac:dyDescent="0.3">
      <c r="A14" s="2"/>
      <c r="B14" s="2">
        <v>0.98899999999999999</v>
      </c>
      <c r="C14" s="2">
        <v>3.1E-2</v>
      </c>
      <c r="D14" s="2">
        <v>0.25900000000000001</v>
      </c>
      <c r="E14" s="2">
        <v>1.7000000000000001E-2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1.877</v>
      </c>
      <c r="M14" s="2">
        <v>1.508</v>
      </c>
      <c r="N14" s="2">
        <v>2.8279999999999998</v>
      </c>
      <c r="O14" s="2">
        <v>-0.3</v>
      </c>
      <c r="P14" s="2">
        <v>-0.29399999999999998</v>
      </c>
      <c r="Q14" s="2">
        <v>-0.308</v>
      </c>
      <c r="R14" s="2">
        <v>6.0999999999999999E-2</v>
      </c>
      <c r="S14" s="2">
        <v>6.9000000000000006E-2</v>
      </c>
      <c r="T14" s="2">
        <v>4.9000000000000002E-2</v>
      </c>
      <c r="U14" s="2">
        <v>-0.94099999999999995</v>
      </c>
      <c r="V14" s="2">
        <v>-0.93799999999999994</v>
      </c>
      <c r="W14" s="2">
        <v>-0.94499999999999995</v>
      </c>
      <c r="X14" s="2">
        <v>-2.5000000000000001E-2</v>
      </c>
      <c r="Y14" s="2">
        <v>-1.4999999999999999E-2</v>
      </c>
      <c r="Z14" s="2">
        <v>-4.2999999999999997E-2</v>
      </c>
      <c r="AA14" s="2">
        <v>1.9E-2</v>
      </c>
      <c r="AB14" s="2">
        <v>3.1E-2</v>
      </c>
      <c r="AC14" s="2">
        <v>1.0999999999999999E-2</v>
      </c>
      <c r="AD14" s="2">
        <v>-1.4999999999999999E-2</v>
      </c>
      <c r="AE14" s="2">
        <v>-8.0000000000000002E-3</v>
      </c>
      <c r="AF14" s="2">
        <v>-2.3E-2</v>
      </c>
      <c r="AG14" s="2">
        <v>1.302</v>
      </c>
      <c r="AH14" s="2">
        <v>0.06</v>
      </c>
      <c r="AI14" s="2">
        <v>0.3</v>
      </c>
      <c r="AJ14" s="2">
        <v>6.0999999999999999E-2</v>
      </c>
      <c r="AK14" s="2">
        <v>0.94099999999999995</v>
      </c>
      <c r="AL14" s="2">
        <v>2.8000000000000001E-2</v>
      </c>
      <c r="AM14" s="2">
        <v>0.02</v>
      </c>
      <c r="AN14" s="2">
        <v>1.6E-2</v>
      </c>
      <c r="AO14" s="2">
        <v>4.0000000000000001E-3</v>
      </c>
      <c r="AP14" s="2">
        <v>7.0000000000000001E-3</v>
      </c>
      <c r="AQ14" s="2">
        <v>2E-3</v>
      </c>
      <c r="AR14" s="2">
        <v>0.01</v>
      </c>
      <c r="AS14" s="2">
        <v>7.0000000000000001E-3</v>
      </c>
      <c r="AT14" s="2">
        <v>5.0000000000000001E-3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5.0000000000000001E-3</v>
      </c>
      <c r="BB14" s="2">
        <v>7.0000000000000001E-3</v>
      </c>
      <c r="BC14" s="2">
        <v>2E-3</v>
      </c>
      <c r="BD14" s="2">
        <v>1.0999999999999999E-2</v>
      </c>
      <c r="BE14" s="2">
        <v>8.0000000000000002E-3</v>
      </c>
      <c r="BF14" s="2">
        <v>5.0000000000000001E-3</v>
      </c>
      <c r="BG14" s="2">
        <v>8.0000000000000002E-3</v>
      </c>
      <c r="BH14" s="2">
        <v>1.2999999999999999E-2</v>
      </c>
      <c r="BI14" s="2">
        <v>2E-3</v>
      </c>
      <c r="BJ14" s="2">
        <v>1.7999999999999999E-2</v>
      </c>
      <c r="BK14" s="2">
        <v>1.0999999999999999E-2</v>
      </c>
      <c r="BL14" s="2">
        <v>8.9999999999999993E-3</v>
      </c>
      <c r="BM14" s="2">
        <v>-2.1000000000000001E-2</v>
      </c>
      <c r="BN14" s="2">
        <v>-3.3000000000000002E-2</v>
      </c>
      <c r="BO14" s="2">
        <v>5.0000000000000001E-3</v>
      </c>
      <c r="BP14" s="2">
        <v>4.2000000000000003E-2</v>
      </c>
      <c r="BQ14" s="2">
        <v>-2.1999999999999999E-2</v>
      </c>
      <c r="BR14" s="2">
        <v>-0.02</v>
      </c>
      <c r="BS14" s="2">
        <v>0.89900000000000002</v>
      </c>
      <c r="BT14" s="2">
        <v>3.7999999999999999E-2</v>
      </c>
      <c r="BU14" s="2">
        <v>8.8629999999999995</v>
      </c>
      <c r="BV14" s="2">
        <v>8.0000000000000002E-3</v>
      </c>
      <c r="BW14" s="2">
        <v>4.0000000000000001E-3</v>
      </c>
      <c r="BX14" s="2">
        <v>3.0000000000000001E-3</v>
      </c>
      <c r="BY14" s="2"/>
      <c r="BZ14" s="2"/>
    </row>
    <row r="15" spans="1:78" x14ac:dyDescent="0.3">
      <c r="A15" s="2"/>
      <c r="B15" s="2">
        <v>0.98899999999999999</v>
      </c>
      <c r="C15" s="2">
        <v>7.3999999999999996E-2</v>
      </c>
      <c r="D15" s="2">
        <v>0.22800000000000001</v>
      </c>
      <c r="E15" s="2">
        <v>3.2000000000000001E-2</v>
      </c>
      <c r="F15" s="2">
        <v>0</v>
      </c>
      <c r="G15" s="2">
        <v>0</v>
      </c>
      <c r="H15" s="2">
        <v>0</v>
      </c>
      <c r="I15" s="2">
        <v>1E-3</v>
      </c>
      <c r="J15" s="2">
        <v>1E-3</v>
      </c>
      <c r="K15" s="2">
        <v>1E-3</v>
      </c>
      <c r="L15" s="2">
        <v>1.8759999999999999</v>
      </c>
      <c r="M15" s="2">
        <v>1.526</v>
      </c>
      <c r="N15" s="2">
        <v>2.835</v>
      </c>
      <c r="O15" s="2">
        <v>-0.29399999999999998</v>
      </c>
      <c r="P15" s="2">
        <v>-0.26400000000000001</v>
      </c>
      <c r="Q15" s="2">
        <v>-0.312</v>
      </c>
      <c r="R15" s="2">
        <v>3.5999999999999997E-2</v>
      </c>
      <c r="S15" s="2">
        <v>6.4000000000000001E-2</v>
      </c>
      <c r="T15" s="2">
        <v>1E-3</v>
      </c>
      <c r="U15" s="2">
        <v>-0.94399999999999995</v>
      </c>
      <c r="V15" s="2">
        <v>-0.92500000000000004</v>
      </c>
      <c r="W15" s="2">
        <v>-0.96899999999999997</v>
      </c>
      <c r="X15" s="2">
        <v>3.4000000000000002E-2</v>
      </c>
      <c r="Y15" s="2">
        <v>0.16900000000000001</v>
      </c>
      <c r="Z15" s="2">
        <v>-3.9E-2</v>
      </c>
      <c r="AA15" s="2">
        <v>8.9999999999999993E-3</v>
      </c>
      <c r="AB15" s="2">
        <v>0.10299999999999999</v>
      </c>
      <c r="AC15" s="2">
        <v>-6.4000000000000001E-2</v>
      </c>
      <c r="AD15" s="2">
        <v>-3.1E-2</v>
      </c>
      <c r="AE15" s="2">
        <v>-1E-3</v>
      </c>
      <c r="AF15" s="2">
        <v>-7.1999999999999995E-2</v>
      </c>
      <c r="AG15" s="2">
        <v>1.2729999999999999</v>
      </c>
      <c r="AH15" s="2">
        <v>0.13200000000000001</v>
      </c>
      <c r="AI15" s="2">
        <v>0.29399999999999998</v>
      </c>
      <c r="AJ15" s="2">
        <v>4.4999999999999998E-2</v>
      </c>
      <c r="AK15" s="2">
        <v>0.94399999999999995</v>
      </c>
      <c r="AL15" s="2">
        <v>8.1000000000000003E-2</v>
      </c>
      <c r="AM15" s="2">
        <v>0.05</v>
      </c>
      <c r="AN15" s="2">
        <v>3.7999999999999999E-2</v>
      </c>
      <c r="AO15" s="2">
        <v>8.9999999999999993E-3</v>
      </c>
      <c r="AP15" s="2">
        <v>2.5999999999999999E-2</v>
      </c>
      <c r="AQ15" s="2">
        <v>7.0000000000000001E-3</v>
      </c>
      <c r="AR15" s="2">
        <v>6.4000000000000001E-2</v>
      </c>
      <c r="AS15" s="2">
        <v>4.1000000000000002E-2</v>
      </c>
      <c r="AT15" s="2">
        <v>1.9E-2</v>
      </c>
      <c r="AU15" s="2">
        <v>0</v>
      </c>
      <c r="AV15" s="2">
        <v>1E-3</v>
      </c>
      <c r="AW15" s="2">
        <v>0</v>
      </c>
      <c r="AX15" s="2">
        <v>5.0000000000000001E-3</v>
      </c>
      <c r="AY15" s="2">
        <v>2E-3</v>
      </c>
      <c r="AZ15" s="2">
        <v>1E-3</v>
      </c>
      <c r="BA15" s="2">
        <v>1.2E-2</v>
      </c>
      <c r="BB15" s="2">
        <v>2.7E-2</v>
      </c>
      <c r="BC15" s="2">
        <v>0.01</v>
      </c>
      <c r="BD15" s="2">
        <v>7.2999999999999995E-2</v>
      </c>
      <c r="BE15" s="2">
        <v>0.05</v>
      </c>
      <c r="BF15" s="2">
        <v>2.3E-2</v>
      </c>
      <c r="BG15" s="2">
        <v>5.0000000000000001E-3</v>
      </c>
      <c r="BH15" s="2">
        <v>5.8000000000000003E-2</v>
      </c>
      <c r="BI15" s="2">
        <v>6.0000000000000001E-3</v>
      </c>
      <c r="BJ15" s="2">
        <v>9.0999999999999998E-2</v>
      </c>
      <c r="BK15" s="2">
        <v>6.7000000000000004E-2</v>
      </c>
      <c r="BL15" s="2">
        <v>2.5999999999999999E-2</v>
      </c>
      <c r="BM15" s="2">
        <v>-3.9E-2</v>
      </c>
      <c r="BN15" s="2">
        <v>4.2999999999999997E-2</v>
      </c>
      <c r="BO15" s="2">
        <v>1.2E-2</v>
      </c>
      <c r="BP15" s="2">
        <v>-0.44</v>
      </c>
      <c r="BQ15" s="2">
        <v>0.107</v>
      </c>
      <c r="BR15" s="2">
        <v>4.4999999999999998E-2</v>
      </c>
      <c r="BS15" s="2">
        <v>0.86399999999999999</v>
      </c>
      <c r="BT15" s="2">
        <v>0.02</v>
      </c>
      <c r="BU15" s="2">
        <v>8.9109999999999996</v>
      </c>
      <c r="BV15" s="2">
        <v>6.5000000000000002E-2</v>
      </c>
      <c r="BW15" s="2">
        <v>2.5000000000000001E-2</v>
      </c>
      <c r="BX15" s="2">
        <v>1.4999999999999999E-2</v>
      </c>
      <c r="BY15" s="2"/>
      <c r="BZ15" s="2"/>
    </row>
    <row r="16" spans="1:78" x14ac:dyDescent="0.3">
      <c r="A16" s="2"/>
      <c r="B16" s="2">
        <v>0.99099999999999999</v>
      </c>
      <c r="C16" s="2">
        <v>8.4000000000000005E-2</v>
      </c>
      <c r="D16" s="2">
        <v>0.186</v>
      </c>
      <c r="E16" s="2">
        <v>3.2000000000000001E-2</v>
      </c>
      <c r="F16" s="2">
        <v>0</v>
      </c>
      <c r="G16" s="2">
        <v>0</v>
      </c>
      <c r="H16" s="2">
        <v>0</v>
      </c>
      <c r="I16" s="2">
        <v>1E-3</v>
      </c>
      <c r="J16" s="2">
        <v>1E-3</v>
      </c>
      <c r="K16" s="2">
        <v>0</v>
      </c>
      <c r="L16" s="2">
        <v>1.895</v>
      </c>
      <c r="M16" s="2">
        <v>1.5489999999999999</v>
      </c>
      <c r="N16" s="2">
        <v>2.8159999999999998</v>
      </c>
      <c r="O16" s="2">
        <v>-0.315</v>
      </c>
      <c r="P16" s="2">
        <v>-0.30499999999999999</v>
      </c>
      <c r="Q16" s="2">
        <v>-0.32100000000000001</v>
      </c>
      <c r="R16" s="2">
        <v>2.1999999999999999E-2</v>
      </c>
      <c r="S16" s="2">
        <v>4.3999999999999997E-2</v>
      </c>
      <c r="T16" s="2">
        <v>6.0000000000000001E-3</v>
      </c>
      <c r="U16" s="2">
        <v>-0.93899999999999995</v>
      </c>
      <c r="V16" s="2">
        <v>-0.93400000000000005</v>
      </c>
      <c r="W16" s="2">
        <v>-0.94499999999999995</v>
      </c>
      <c r="X16" s="2">
        <v>-5.5E-2</v>
      </c>
      <c r="Y16" s="2">
        <v>1.0999999999999999E-2</v>
      </c>
      <c r="Z16" s="2">
        <v>-8.7999999999999995E-2</v>
      </c>
      <c r="AA16" s="2">
        <v>4.0000000000000001E-3</v>
      </c>
      <c r="AB16" s="2">
        <v>0.05</v>
      </c>
      <c r="AC16" s="2">
        <v>-9.7000000000000003E-2</v>
      </c>
      <c r="AD16" s="2">
        <v>-2.8000000000000001E-2</v>
      </c>
      <c r="AE16" s="2">
        <v>8.0000000000000002E-3</v>
      </c>
      <c r="AF16" s="2">
        <v>-5.5E-2</v>
      </c>
      <c r="AG16" s="2">
        <v>1.276</v>
      </c>
      <c r="AH16" s="2">
        <v>0.11899999999999999</v>
      </c>
      <c r="AI16" s="2">
        <v>0.315</v>
      </c>
      <c r="AJ16" s="2">
        <v>2.5000000000000001E-2</v>
      </c>
      <c r="AK16" s="2">
        <v>0.93899999999999995</v>
      </c>
      <c r="AL16" s="2">
        <v>6.4000000000000001E-2</v>
      </c>
      <c r="AM16" s="2">
        <v>4.1000000000000002E-2</v>
      </c>
      <c r="AN16" s="2">
        <v>3.3000000000000002E-2</v>
      </c>
      <c r="AO16" s="2">
        <v>3.0000000000000001E-3</v>
      </c>
      <c r="AP16" s="2">
        <v>1.0999999999999999E-2</v>
      </c>
      <c r="AQ16" s="2">
        <v>2E-3</v>
      </c>
      <c r="AR16" s="2">
        <v>2.5999999999999999E-2</v>
      </c>
      <c r="AS16" s="2">
        <v>0.03</v>
      </c>
      <c r="AT16" s="2">
        <v>1.4E-2</v>
      </c>
      <c r="AU16" s="2">
        <v>0</v>
      </c>
      <c r="AV16" s="2">
        <v>0</v>
      </c>
      <c r="AW16" s="2">
        <v>0</v>
      </c>
      <c r="AX16" s="2">
        <v>1E-3</v>
      </c>
      <c r="AY16" s="2">
        <v>2E-3</v>
      </c>
      <c r="AZ16" s="2">
        <v>0</v>
      </c>
      <c r="BA16" s="2">
        <v>4.0000000000000001E-3</v>
      </c>
      <c r="BB16" s="2">
        <v>1.2999999999999999E-2</v>
      </c>
      <c r="BC16" s="2">
        <v>3.0000000000000001E-3</v>
      </c>
      <c r="BD16" s="2">
        <v>3.3000000000000002E-2</v>
      </c>
      <c r="BE16" s="2">
        <v>4.1000000000000002E-2</v>
      </c>
      <c r="BF16" s="2">
        <v>1.7999999999999999E-2</v>
      </c>
      <c r="BG16" s="2">
        <v>5.0000000000000001E-3</v>
      </c>
      <c r="BH16" s="2">
        <v>0.02</v>
      </c>
      <c r="BI16" s="2">
        <v>3.0000000000000001E-3</v>
      </c>
      <c r="BJ16" s="2">
        <v>0.03</v>
      </c>
      <c r="BK16" s="2">
        <v>2.4E-2</v>
      </c>
      <c r="BL16" s="2">
        <v>2.1000000000000001E-2</v>
      </c>
      <c r="BM16" s="2">
        <v>2.3E-2</v>
      </c>
      <c r="BN16" s="2">
        <v>-1.2E-2</v>
      </c>
      <c r="BO16" s="2">
        <v>-6.0000000000000001E-3</v>
      </c>
      <c r="BP16" s="2">
        <v>0.106</v>
      </c>
      <c r="BQ16" s="2">
        <v>-0.16700000000000001</v>
      </c>
      <c r="BR16" s="2">
        <v>4.1000000000000002E-2</v>
      </c>
      <c r="BS16" s="2">
        <v>0.99099999999999999</v>
      </c>
      <c r="BT16" s="2">
        <v>6.0000000000000001E-3</v>
      </c>
      <c r="BU16" s="2">
        <v>8.8140000000000001</v>
      </c>
      <c r="BV16" s="2">
        <v>4.1000000000000002E-2</v>
      </c>
      <c r="BW16" s="2">
        <v>1.7000000000000001E-2</v>
      </c>
      <c r="BX16" s="2">
        <v>1.0999999999999999E-2</v>
      </c>
      <c r="BY16" s="2"/>
      <c r="BZ16" s="2"/>
    </row>
    <row r="17" spans="1:78" x14ac:dyDescent="0.3">
      <c r="A17" s="2"/>
      <c r="B17" s="2">
        <v>0.99</v>
      </c>
      <c r="C17" s="2">
        <v>8.5000000000000006E-2</v>
      </c>
      <c r="D17" s="2">
        <v>0.25800000000000001</v>
      </c>
      <c r="E17" s="2">
        <v>2.5999999999999999E-2</v>
      </c>
      <c r="F17" s="2">
        <v>0</v>
      </c>
      <c r="G17" s="2">
        <v>0</v>
      </c>
      <c r="H17" s="2">
        <v>0</v>
      </c>
      <c r="I17" s="2">
        <v>1E-3</v>
      </c>
      <c r="J17" s="2">
        <v>0</v>
      </c>
      <c r="K17" s="2">
        <v>1E-3</v>
      </c>
      <c r="L17" s="2">
        <v>1.889</v>
      </c>
      <c r="M17" s="2">
        <v>1.51</v>
      </c>
      <c r="N17" s="2">
        <v>2.8180000000000001</v>
      </c>
      <c r="O17" s="2">
        <v>-0.308</v>
      </c>
      <c r="P17" s="2">
        <v>-0.29699999999999999</v>
      </c>
      <c r="Q17" s="2">
        <v>-0.32700000000000001</v>
      </c>
      <c r="R17" s="2">
        <v>6.0999999999999999E-2</v>
      </c>
      <c r="S17" s="2">
        <v>8.2000000000000003E-2</v>
      </c>
      <c r="T17" s="2">
        <v>4.4999999999999998E-2</v>
      </c>
      <c r="U17" s="2">
        <v>-0.93899999999999995</v>
      </c>
      <c r="V17" s="2">
        <v>-0.92600000000000005</v>
      </c>
      <c r="W17" s="2">
        <v>-0.95899999999999996</v>
      </c>
      <c r="X17" s="2">
        <v>-2.1999999999999999E-2</v>
      </c>
      <c r="Y17" s="2">
        <v>5.8999999999999997E-2</v>
      </c>
      <c r="Z17" s="2">
        <v>-0.112</v>
      </c>
      <c r="AA17" s="2">
        <v>2.8000000000000001E-2</v>
      </c>
      <c r="AB17" s="2">
        <v>7.3999999999999996E-2</v>
      </c>
      <c r="AC17" s="2">
        <v>-1.7999999999999999E-2</v>
      </c>
      <c r="AD17" s="2">
        <v>-3.6999999999999998E-2</v>
      </c>
      <c r="AE17" s="2">
        <v>3.4000000000000002E-2</v>
      </c>
      <c r="AF17" s="2">
        <v>-8.8999999999999996E-2</v>
      </c>
      <c r="AG17" s="2">
        <v>1.3089999999999999</v>
      </c>
      <c r="AH17" s="2">
        <v>0.124</v>
      </c>
      <c r="AI17" s="2">
        <v>0.308</v>
      </c>
      <c r="AJ17" s="2">
        <v>6.2E-2</v>
      </c>
      <c r="AK17" s="2">
        <v>0.93899999999999995</v>
      </c>
      <c r="AL17" s="2">
        <v>5.2999999999999999E-2</v>
      </c>
      <c r="AM17" s="2">
        <v>3.7999999999999999E-2</v>
      </c>
      <c r="AN17" s="2">
        <v>5.8999999999999997E-2</v>
      </c>
      <c r="AO17" s="2">
        <v>7.0000000000000001E-3</v>
      </c>
      <c r="AP17" s="2">
        <v>8.9999999999999993E-3</v>
      </c>
      <c r="AQ17" s="2">
        <v>8.9999999999999993E-3</v>
      </c>
      <c r="AR17" s="2">
        <v>3.9E-2</v>
      </c>
      <c r="AS17" s="2">
        <v>0.02</v>
      </c>
      <c r="AT17" s="2">
        <v>4.2999999999999997E-2</v>
      </c>
      <c r="AU17" s="2">
        <v>0</v>
      </c>
      <c r="AV17" s="2">
        <v>0</v>
      </c>
      <c r="AW17" s="2">
        <v>0</v>
      </c>
      <c r="AX17" s="2">
        <v>2E-3</v>
      </c>
      <c r="AY17" s="2">
        <v>1E-3</v>
      </c>
      <c r="AZ17" s="2">
        <v>2E-3</v>
      </c>
      <c r="BA17" s="2">
        <v>8.9999999999999993E-3</v>
      </c>
      <c r="BB17" s="2">
        <v>1.0999999999999999E-2</v>
      </c>
      <c r="BC17" s="2">
        <v>0.01</v>
      </c>
      <c r="BD17" s="2">
        <v>4.8000000000000001E-2</v>
      </c>
      <c r="BE17" s="2">
        <v>2.5999999999999999E-2</v>
      </c>
      <c r="BF17" s="2">
        <v>4.5999999999999999E-2</v>
      </c>
      <c r="BG17" s="2">
        <v>1.0999999999999999E-2</v>
      </c>
      <c r="BH17" s="2">
        <v>1.4999999999999999E-2</v>
      </c>
      <c r="BI17" s="2">
        <v>1.6E-2</v>
      </c>
      <c r="BJ17" s="2">
        <v>4.7E-2</v>
      </c>
      <c r="BK17" s="2">
        <v>2.1999999999999999E-2</v>
      </c>
      <c r="BL17" s="2">
        <v>8.4000000000000005E-2</v>
      </c>
      <c r="BM17" s="2">
        <v>-1E-3</v>
      </c>
      <c r="BN17" s="2">
        <v>2E-3</v>
      </c>
      <c r="BO17" s="2">
        <v>6.0000000000000001E-3</v>
      </c>
      <c r="BP17" s="2">
        <v>0.06</v>
      </c>
      <c r="BQ17" s="2">
        <v>-0.115</v>
      </c>
      <c r="BR17" s="2">
        <v>3.6999999999999998E-2</v>
      </c>
      <c r="BS17" s="2">
        <v>0.95</v>
      </c>
      <c r="BT17" s="2">
        <v>3.9E-2</v>
      </c>
      <c r="BU17" s="2">
        <v>8.8230000000000004</v>
      </c>
      <c r="BV17" s="2">
        <v>2.8000000000000001E-2</v>
      </c>
      <c r="BW17" s="2">
        <v>1.4999999999999999E-2</v>
      </c>
      <c r="BX17" s="2">
        <v>3.5000000000000003E-2</v>
      </c>
      <c r="BY17" s="2"/>
      <c r="BZ17" s="2"/>
    </row>
    <row r="18" spans="1:78" x14ac:dyDescent="0.3">
      <c r="A18" s="2"/>
      <c r="B18" s="2">
        <v>0.99</v>
      </c>
      <c r="C18" s="2">
        <v>0.06</v>
      </c>
      <c r="D18" s="2">
        <v>0.158</v>
      </c>
      <c r="E18" s="2">
        <v>2.4E-2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1.877</v>
      </c>
      <c r="M18" s="2">
        <v>1.5569999999999999</v>
      </c>
      <c r="N18" s="2">
        <v>2.8340000000000001</v>
      </c>
      <c r="O18" s="2">
        <v>-0.29899999999999999</v>
      </c>
      <c r="P18" s="2">
        <v>-0.29499999999999998</v>
      </c>
      <c r="Q18" s="2">
        <v>-0.30599999999999999</v>
      </c>
      <c r="R18" s="2">
        <v>2.3E-2</v>
      </c>
      <c r="S18" s="2">
        <v>0.05</v>
      </c>
      <c r="T18" s="2">
        <v>8.9999999999999993E-3</v>
      </c>
      <c r="U18" s="2">
        <v>-0.94399999999999995</v>
      </c>
      <c r="V18" s="2">
        <v>-0.93700000000000006</v>
      </c>
      <c r="W18" s="2">
        <v>-0.95299999999999996</v>
      </c>
      <c r="X18" s="2">
        <v>1.6E-2</v>
      </c>
      <c r="Y18" s="2">
        <v>5.6000000000000001E-2</v>
      </c>
      <c r="Z18" s="2">
        <v>-1.6E-2</v>
      </c>
      <c r="AA18" s="2">
        <v>1.9E-2</v>
      </c>
      <c r="AB18" s="2">
        <v>3.5000000000000003E-2</v>
      </c>
      <c r="AC18" s="2">
        <v>2E-3</v>
      </c>
      <c r="AD18" s="2">
        <v>-4.2999999999999997E-2</v>
      </c>
      <c r="AE18" s="2">
        <v>-6.0000000000000001E-3</v>
      </c>
      <c r="AF18" s="2">
        <v>-9.5000000000000001E-2</v>
      </c>
      <c r="AG18" s="2">
        <v>1.266</v>
      </c>
      <c r="AH18" s="2">
        <v>8.5999999999999993E-2</v>
      </c>
      <c r="AI18" s="2">
        <v>0.29899999999999999</v>
      </c>
      <c r="AJ18" s="2">
        <v>2.7E-2</v>
      </c>
      <c r="AK18" s="2">
        <v>0.94399999999999995</v>
      </c>
      <c r="AL18" s="2">
        <v>0.03</v>
      </c>
      <c r="AM18" s="2">
        <v>2.1999999999999999E-2</v>
      </c>
      <c r="AN18" s="2">
        <v>5.1999999999999998E-2</v>
      </c>
      <c r="AO18" s="2">
        <v>2E-3</v>
      </c>
      <c r="AP18" s="2">
        <v>1.2999999999999999E-2</v>
      </c>
      <c r="AQ18" s="2">
        <v>4.0000000000000001E-3</v>
      </c>
      <c r="AR18" s="2">
        <v>2.3E-2</v>
      </c>
      <c r="AS18" s="2">
        <v>7.0000000000000001E-3</v>
      </c>
      <c r="AT18" s="2">
        <v>2.5000000000000001E-2</v>
      </c>
      <c r="AU18" s="2">
        <v>0</v>
      </c>
      <c r="AV18" s="2">
        <v>0</v>
      </c>
      <c r="AW18" s="2">
        <v>0</v>
      </c>
      <c r="AX18" s="2">
        <v>1E-3</v>
      </c>
      <c r="AY18" s="2">
        <v>0</v>
      </c>
      <c r="AZ18" s="2">
        <v>1E-3</v>
      </c>
      <c r="BA18" s="2">
        <v>3.0000000000000001E-3</v>
      </c>
      <c r="BB18" s="2">
        <v>1.4999999999999999E-2</v>
      </c>
      <c r="BC18" s="2">
        <v>5.0000000000000001E-3</v>
      </c>
      <c r="BD18" s="2">
        <v>2.5999999999999999E-2</v>
      </c>
      <c r="BE18" s="2">
        <v>8.9999999999999993E-3</v>
      </c>
      <c r="BF18" s="2">
        <v>0.03</v>
      </c>
      <c r="BG18" s="2">
        <v>3.0000000000000001E-3</v>
      </c>
      <c r="BH18" s="2">
        <v>2.4E-2</v>
      </c>
      <c r="BI18" s="2">
        <v>7.0000000000000001E-3</v>
      </c>
      <c r="BJ18" s="2">
        <v>4.2999999999999997E-2</v>
      </c>
      <c r="BK18" s="2">
        <v>1.0999999999999999E-2</v>
      </c>
      <c r="BL18" s="2">
        <v>5.0999999999999997E-2</v>
      </c>
      <c r="BM18" s="2">
        <v>-6.0000000000000001E-3</v>
      </c>
      <c r="BN18" s="2">
        <v>7.3999999999999996E-2</v>
      </c>
      <c r="BO18" s="2">
        <v>1.9E-2</v>
      </c>
      <c r="BP18" s="2">
        <v>1.7000000000000001E-2</v>
      </c>
      <c r="BQ18" s="2">
        <v>2.5000000000000001E-2</v>
      </c>
      <c r="BR18" s="2">
        <v>-0.13100000000000001</v>
      </c>
      <c r="BS18" s="2">
        <v>0.89700000000000002</v>
      </c>
      <c r="BT18" s="2">
        <v>7.0000000000000001E-3</v>
      </c>
      <c r="BU18" s="2">
        <v>8.9130000000000003</v>
      </c>
      <c r="BV18" s="2">
        <v>8.9999999999999993E-3</v>
      </c>
      <c r="BW18" s="2">
        <v>5.0000000000000001E-3</v>
      </c>
      <c r="BX18" s="2">
        <v>2.7E-2</v>
      </c>
      <c r="BY18" s="2"/>
      <c r="BZ18" s="2"/>
    </row>
    <row r="19" spans="1:78" x14ac:dyDescent="0.3">
      <c r="A19" s="2"/>
      <c r="B19" s="2">
        <v>0.99099999999999999</v>
      </c>
      <c r="C19" s="2">
        <v>5.7000000000000002E-2</v>
      </c>
      <c r="D19" s="2">
        <v>0.13600000000000001</v>
      </c>
      <c r="E19" s="2">
        <v>0.02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1.8680000000000001</v>
      </c>
      <c r="M19" s="2">
        <v>1.5609999999999999</v>
      </c>
      <c r="N19" s="2">
        <v>2.8439999999999999</v>
      </c>
      <c r="O19" s="2">
        <v>-0.28899999999999998</v>
      </c>
      <c r="P19" s="2">
        <v>-0.27900000000000003</v>
      </c>
      <c r="Q19" s="2">
        <v>-0.29599999999999999</v>
      </c>
      <c r="R19" s="2">
        <v>1.4999999999999999E-2</v>
      </c>
      <c r="S19" s="2">
        <v>3.9E-2</v>
      </c>
      <c r="T19" s="2">
        <v>3.0000000000000001E-3</v>
      </c>
      <c r="U19" s="2">
        <v>-0.94699999999999995</v>
      </c>
      <c r="V19" s="2">
        <v>-0.94</v>
      </c>
      <c r="W19" s="2">
        <v>-0.95099999999999996</v>
      </c>
      <c r="X19" s="2">
        <v>-4.2999999999999997E-2</v>
      </c>
      <c r="Y19" s="2">
        <v>1.6E-2</v>
      </c>
      <c r="Z19" s="2">
        <v>-8.5999999999999993E-2</v>
      </c>
      <c r="AA19" s="2">
        <v>2.1999999999999999E-2</v>
      </c>
      <c r="AB19" s="2">
        <v>3.9E-2</v>
      </c>
      <c r="AC19" s="2">
        <v>6.0000000000000001E-3</v>
      </c>
      <c r="AD19" s="2">
        <v>-1.2E-2</v>
      </c>
      <c r="AE19" s="2">
        <v>5.0000000000000001E-3</v>
      </c>
      <c r="AF19" s="2">
        <v>-2.7E-2</v>
      </c>
      <c r="AG19" s="2">
        <v>1.25</v>
      </c>
      <c r="AH19" s="2">
        <v>8.5000000000000006E-2</v>
      </c>
      <c r="AI19" s="2">
        <v>0.28899999999999998</v>
      </c>
      <c r="AJ19" s="2">
        <v>0.02</v>
      </c>
      <c r="AK19" s="2">
        <v>0.94699999999999995</v>
      </c>
      <c r="AL19" s="2">
        <v>5.6000000000000001E-2</v>
      </c>
      <c r="AM19" s="2">
        <v>2.5000000000000001E-2</v>
      </c>
      <c r="AN19" s="2">
        <v>1.7000000000000001E-2</v>
      </c>
      <c r="AO19" s="2">
        <v>3.0000000000000001E-3</v>
      </c>
      <c r="AP19" s="2">
        <v>1.0999999999999999E-2</v>
      </c>
      <c r="AQ19" s="2">
        <v>3.0000000000000001E-3</v>
      </c>
      <c r="AR19" s="2">
        <v>3.1E-2</v>
      </c>
      <c r="AS19" s="2">
        <v>8.9999999999999993E-3</v>
      </c>
      <c r="AT19" s="2">
        <v>8.9999999999999993E-3</v>
      </c>
      <c r="AU19" s="2">
        <v>0</v>
      </c>
      <c r="AV19" s="2">
        <v>0</v>
      </c>
      <c r="AW19" s="2">
        <v>0</v>
      </c>
      <c r="AX19" s="2">
        <v>1E-3</v>
      </c>
      <c r="AY19" s="2">
        <v>0</v>
      </c>
      <c r="AZ19" s="2">
        <v>0</v>
      </c>
      <c r="BA19" s="2">
        <v>5.0000000000000001E-3</v>
      </c>
      <c r="BB19" s="2">
        <v>1.2999999999999999E-2</v>
      </c>
      <c r="BC19" s="2">
        <v>4.0000000000000001E-3</v>
      </c>
      <c r="BD19" s="2">
        <v>3.5999999999999997E-2</v>
      </c>
      <c r="BE19" s="2">
        <v>0.01</v>
      </c>
      <c r="BF19" s="2">
        <v>1.0999999999999999E-2</v>
      </c>
      <c r="BG19" s="2">
        <v>4.0000000000000001E-3</v>
      </c>
      <c r="BH19" s="2">
        <v>1.9E-2</v>
      </c>
      <c r="BI19" s="2">
        <v>6.0000000000000001E-3</v>
      </c>
      <c r="BJ19" s="2">
        <v>5.7000000000000002E-2</v>
      </c>
      <c r="BK19" s="2">
        <v>1.7000000000000001E-2</v>
      </c>
      <c r="BL19" s="2">
        <v>2.1000000000000001E-2</v>
      </c>
      <c r="BM19" s="2">
        <v>-1.6E-2</v>
      </c>
      <c r="BN19" s="2">
        <v>0.03</v>
      </c>
      <c r="BO19" s="2">
        <v>1.2999999999999999E-2</v>
      </c>
      <c r="BP19" s="2">
        <v>0.17499999999999999</v>
      </c>
      <c r="BQ19" s="2">
        <v>2.1999999999999999E-2</v>
      </c>
      <c r="BR19" s="2">
        <v>4.0000000000000001E-3</v>
      </c>
      <c r="BS19" s="2">
        <v>0.83499999999999996</v>
      </c>
      <c r="BT19" s="2">
        <v>4.0000000000000001E-3</v>
      </c>
      <c r="BU19" s="2">
        <v>8.9640000000000004</v>
      </c>
      <c r="BV19" s="2">
        <v>3.2000000000000001E-2</v>
      </c>
      <c r="BW19" s="2">
        <v>6.0000000000000001E-3</v>
      </c>
      <c r="BX19" s="2">
        <v>3.0000000000000001E-3</v>
      </c>
      <c r="BY19" s="2"/>
      <c r="BZ19" s="2"/>
    </row>
    <row r="20" spans="1:78" x14ac:dyDescent="0.3">
      <c r="A20" s="2"/>
      <c r="B20" s="2">
        <v>0.99099999999999999</v>
      </c>
      <c r="C20" s="2">
        <v>3.2000000000000001E-2</v>
      </c>
      <c r="D20" s="2">
        <v>0.215</v>
      </c>
      <c r="E20" s="2">
        <v>1.7000000000000001E-2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1.861</v>
      </c>
      <c r="M20" s="2">
        <v>1.5329999999999999</v>
      </c>
      <c r="N20" s="2">
        <v>2.8479999999999999</v>
      </c>
      <c r="O20" s="2">
        <v>-0.28299999999999997</v>
      </c>
      <c r="P20" s="2">
        <v>-0.27400000000000002</v>
      </c>
      <c r="Q20" s="2">
        <v>-0.28699999999999998</v>
      </c>
      <c r="R20" s="2">
        <v>3.5999999999999997E-2</v>
      </c>
      <c r="S20" s="2">
        <v>4.2000000000000003E-2</v>
      </c>
      <c r="T20" s="2">
        <v>2.5999999999999999E-2</v>
      </c>
      <c r="U20" s="2">
        <v>-0.94799999999999995</v>
      </c>
      <c r="V20" s="2">
        <v>-0.93700000000000006</v>
      </c>
      <c r="W20" s="2">
        <v>-0.95399999999999996</v>
      </c>
      <c r="X20" s="2">
        <v>-1.2999999999999999E-2</v>
      </c>
      <c r="Y20" s="2">
        <v>1.4E-2</v>
      </c>
      <c r="Z20" s="2">
        <v>-3.1E-2</v>
      </c>
      <c r="AA20" s="2">
        <v>2.1000000000000001E-2</v>
      </c>
      <c r="AB20" s="2">
        <v>2.9000000000000001E-2</v>
      </c>
      <c r="AC20" s="2">
        <v>1.7000000000000001E-2</v>
      </c>
      <c r="AD20" s="2">
        <v>-0.02</v>
      </c>
      <c r="AE20" s="2">
        <v>-0.01</v>
      </c>
      <c r="AF20" s="2">
        <v>-3.2000000000000001E-2</v>
      </c>
      <c r="AG20" s="2">
        <v>1.266</v>
      </c>
      <c r="AH20" s="2">
        <v>5.8000000000000003E-2</v>
      </c>
      <c r="AI20" s="2">
        <v>0.28299999999999997</v>
      </c>
      <c r="AJ20" s="2">
        <v>3.5999999999999997E-2</v>
      </c>
      <c r="AK20" s="2">
        <v>0.94799999999999995</v>
      </c>
      <c r="AL20" s="2">
        <v>1.7999999999999999E-2</v>
      </c>
      <c r="AM20" s="2">
        <v>2.1000000000000001E-2</v>
      </c>
      <c r="AN20" s="2">
        <v>2.1000000000000001E-2</v>
      </c>
      <c r="AO20" s="2">
        <v>4.0000000000000001E-3</v>
      </c>
      <c r="AP20" s="2">
        <v>5.0000000000000001E-3</v>
      </c>
      <c r="AQ20" s="2">
        <v>3.0000000000000001E-3</v>
      </c>
      <c r="AR20" s="2">
        <v>0.01</v>
      </c>
      <c r="AS20" s="2">
        <v>4.0000000000000001E-3</v>
      </c>
      <c r="AT20" s="2">
        <v>5.0000000000000001E-3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4.0000000000000001E-3</v>
      </c>
      <c r="BB20" s="2">
        <v>5.0000000000000001E-3</v>
      </c>
      <c r="BC20" s="2">
        <v>5.0000000000000001E-3</v>
      </c>
      <c r="BD20" s="2">
        <v>1.2999999999999999E-2</v>
      </c>
      <c r="BE20" s="2">
        <v>4.0000000000000001E-3</v>
      </c>
      <c r="BF20" s="2">
        <v>6.0000000000000001E-3</v>
      </c>
      <c r="BG20" s="2">
        <v>6.0000000000000001E-3</v>
      </c>
      <c r="BH20" s="2">
        <v>8.9999999999999993E-3</v>
      </c>
      <c r="BI20" s="2">
        <v>5.0000000000000001E-3</v>
      </c>
      <c r="BJ20" s="2">
        <v>1.7000000000000001E-2</v>
      </c>
      <c r="BK20" s="2">
        <v>7.0000000000000001E-3</v>
      </c>
      <c r="BL20" s="2">
        <v>6.0000000000000001E-3</v>
      </c>
      <c r="BM20" s="2">
        <v>-5.0000000000000001E-3</v>
      </c>
      <c r="BN20" s="2">
        <v>5.0000000000000001E-3</v>
      </c>
      <c r="BO20" s="2">
        <v>-6.0000000000000001E-3</v>
      </c>
      <c r="BP20" s="2">
        <v>3.3000000000000002E-2</v>
      </c>
      <c r="BQ20" s="2">
        <v>-1.4999999999999999E-2</v>
      </c>
      <c r="BR20" s="2">
        <v>1.7999999999999999E-2</v>
      </c>
      <c r="BS20" s="2">
        <v>0.8</v>
      </c>
      <c r="BT20" s="2">
        <v>1.2999999999999999E-2</v>
      </c>
      <c r="BU20" s="2">
        <v>8.9879999999999995</v>
      </c>
      <c r="BV20" s="2">
        <v>3.0000000000000001E-3</v>
      </c>
      <c r="BW20" s="2">
        <v>5.0000000000000001E-3</v>
      </c>
      <c r="BX20" s="2">
        <v>4.0000000000000001E-3</v>
      </c>
      <c r="BY20" s="2"/>
      <c r="BZ20" s="2"/>
    </row>
    <row r="21" spans="1:78" x14ac:dyDescent="0.3">
      <c r="A21" s="2"/>
      <c r="B21" s="2">
        <v>0.99099999999999999</v>
      </c>
      <c r="C21" s="2">
        <v>2.5999999999999999E-2</v>
      </c>
      <c r="D21" s="2">
        <v>0.20799999999999999</v>
      </c>
      <c r="E21" s="2">
        <v>1.4E-2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1.857</v>
      </c>
      <c r="M21" s="2">
        <v>1.536</v>
      </c>
      <c r="N21" s="2">
        <v>2.8530000000000002</v>
      </c>
      <c r="O21" s="2">
        <v>-0.28000000000000003</v>
      </c>
      <c r="P21" s="2">
        <v>-0.27300000000000002</v>
      </c>
      <c r="Q21" s="2">
        <v>-0.28699999999999998</v>
      </c>
      <c r="R21" s="2">
        <v>3.4000000000000002E-2</v>
      </c>
      <c r="S21" s="2">
        <v>0.04</v>
      </c>
      <c r="T21" s="2">
        <v>0.02</v>
      </c>
      <c r="U21" s="2">
        <v>-0.95</v>
      </c>
      <c r="V21" s="2">
        <v>-0.94599999999999995</v>
      </c>
      <c r="W21" s="2">
        <v>-0.95599999999999996</v>
      </c>
      <c r="X21" s="2">
        <v>-1.9E-2</v>
      </c>
      <c r="Y21" s="2">
        <v>-4.0000000000000001E-3</v>
      </c>
      <c r="Z21" s="2">
        <v>-5.2999999999999999E-2</v>
      </c>
      <c r="AA21" s="2">
        <v>2E-3</v>
      </c>
      <c r="AB21" s="2">
        <v>1.4E-2</v>
      </c>
      <c r="AC21" s="2">
        <v>-2.1999999999999999E-2</v>
      </c>
      <c r="AD21" s="2">
        <v>-8.9999999999999993E-3</v>
      </c>
      <c r="AE21" s="2">
        <v>2.5999999999999999E-2</v>
      </c>
      <c r="AF21" s="2">
        <v>-0.02</v>
      </c>
      <c r="AG21" s="2">
        <v>1.264</v>
      </c>
      <c r="AH21" s="2">
        <v>4.5999999999999999E-2</v>
      </c>
      <c r="AI21" s="2">
        <v>0.28000000000000003</v>
      </c>
      <c r="AJ21" s="2">
        <v>3.4000000000000002E-2</v>
      </c>
      <c r="AK21" s="2">
        <v>0.95</v>
      </c>
      <c r="AL21" s="2">
        <v>2.3E-2</v>
      </c>
      <c r="AM21" s="2">
        <v>1.4E-2</v>
      </c>
      <c r="AN21" s="2">
        <v>1.7000000000000001E-2</v>
      </c>
      <c r="AO21" s="2">
        <v>2E-3</v>
      </c>
      <c r="AP21" s="2">
        <v>4.0000000000000001E-3</v>
      </c>
      <c r="AQ21" s="2">
        <v>2E-3</v>
      </c>
      <c r="AR21" s="2">
        <v>8.0000000000000002E-3</v>
      </c>
      <c r="AS21" s="2">
        <v>1.0999999999999999E-2</v>
      </c>
      <c r="AT21" s="2">
        <v>1.0999999999999999E-2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3.0000000000000001E-3</v>
      </c>
      <c r="BB21" s="2">
        <v>5.0000000000000001E-3</v>
      </c>
      <c r="BC21" s="2">
        <v>3.0000000000000001E-3</v>
      </c>
      <c r="BD21" s="2">
        <v>1.2E-2</v>
      </c>
      <c r="BE21" s="2">
        <v>1.2999999999999999E-2</v>
      </c>
      <c r="BF21" s="2">
        <v>1.4E-2</v>
      </c>
      <c r="BG21" s="2">
        <v>3.0000000000000001E-3</v>
      </c>
      <c r="BH21" s="2">
        <v>5.0000000000000001E-3</v>
      </c>
      <c r="BI21" s="2">
        <v>3.0000000000000001E-3</v>
      </c>
      <c r="BJ21" s="2">
        <v>6.0000000000000001E-3</v>
      </c>
      <c r="BK21" s="2">
        <v>1.4E-2</v>
      </c>
      <c r="BL21" s="2">
        <v>1.7000000000000001E-2</v>
      </c>
      <c r="BM21" s="2">
        <v>5.0000000000000001E-3</v>
      </c>
      <c r="BN21" s="2">
        <v>5.0000000000000001E-3</v>
      </c>
      <c r="BO21" s="2">
        <v>-3.0000000000000001E-3</v>
      </c>
      <c r="BP21" s="2">
        <v>-4.2000000000000003E-2</v>
      </c>
      <c r="BQ21" s="2">
        <v>-2.7E-2</v>
      </c>
      <c r="BR21" s="2">
        <v>-1.4E-2</v>
      </c>
      <c r="BS21" s="2">
        <v>0.78300000000000003</v>
      </c>
      <c r="BT21" s="2">
        <v>1.2E-2</v>
      </c>
      <c r="BU21" s="2">
        <v>9.032</v>
      </c>
      <c r="BV21" s="2">
        <v>5.0000000000000001E-3</v>
      </c>
      <c r="BW21" s="2">
        <v>2E-3</v>
      </c>
      <c r="BX21" s="2">
        <v>3.0000000000000001E-3</v>
      </c>
      <c r="BY21" s="2"/>
      <c r="BZ21" s="2"/>
    </row>
    <row r="22" spans="1:78" x14ac:dyDescent="0.3">
      <c r="A22" s="2"/>
      <c r="B22" s="2">
        <v>0.99099999999999999</v>
      </c>
      <c r="C22" s="2">
        <v>0.06</v>
      </c>
      <c r="D22" s="2">
        <v>0.251</v>
      </c>
      <c r="E22" s="2">
        <v>2.5000000000000001E-2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1.893</v>
      </c>
      <c r="M22" s="2">
        <v>1.516</v>
      </c>
      <c r="N22" s="2">
        <v>2.8130000000000002</v>
      </c>
      <c r="O22" s="2">
        <v>-0.311</v>
      </c>
      <c r="P22" s="2">
        <v>-0.28699999999999998</v>
      </c>
      <c r="Q22" s="2">
        <v>-0.32400000000000001</v>
      </c>
      <c r="R22" s="2">
        <v>5.1999999999999998E-2</v>
      </c>
      <c r="S22" s="2">
        <v>6.7000000000000004E-2</v>
      </c>
      <c r="T22" s="2">
        <v>2.7E-2</v>
      </c>
      <c r="U22" s="2">
        <v>-0.93799999999999994</v>
      </c>
      <c r="V22" s="2">
        <v>-0.92400000000000004</v>
      </c>
      <c r="W22" s="2">
        <v>-0.95</v>
      </c>
      <c r="X22" s="2">
        <v>-3.6999999999999998E-2</v>
      </c>
      <c r="Y22" s="2">
        <v>-8.9999999999999993E-3</v>
      </c>
      <c r="Z22" s="2">
        <v>-7.0000000000000007E-2</v>
      </c>
      <c r="AA22" s="2">
        <v>-1.4E-2</v>
      </c>
      <c r="AB22" s="2">
        <v>0.05</v>
      </c>
      <c r="AC22" s="2">
        <v>-6.8000000000000005E-2</v>
      </c>
      <c r="AD22" s="2">
        <v>-2.4E-2</v>
      </c>
      <c r="AE22" s="2">
        <v>1.0999999999999999E-2</v>
      </c>
      <c r="AF22" s="2">
        <v>-6.7000000000000004E-2</v>
      </c>
      <c r="AG22" s="2">
        <v>1.3009999999999999</v>
      </c>
      <c r="AH22" s="2">
        <v>9.5000000000000001E-2</v>
      </c>
      <c r="AI22" s="2">
        <v>0.311</v>
      </c>
      <c r="AJ22" s="2">
        <v>5.2999999999999999E-2</v>
      </c>
      <c r="AK22" s="2">
        <v>0.93799999999999994</v>
      </c>
      <c r="AL22" s="2">
        <v>4.1000000000000002E-2</v>
      </c>
      <c r="AM22" s="2">
        <v>3.6999999999999998E-2</v>
      </c>
      <c r="AN22" s="2">
        <v>3.2000000000000001E-2</v>
      </c>
      <c r="AO22" s="2">
        <v>8.9999999999999993E-3</v>
      </c>
      <c r="AP22" s="2">
        <v>8.9999999999999993E-3</v>
      </c>
      <c r="AQ22" s="2">
        <v>7.0000000000000001E-3</v>
      </c>
      <c r="AR22" s="2">
        <v>1.4E-2</v>
      </c>
      <c r="AS22" s="2">
        <v>2.7E-2</v>
      </c>
      <c r="AT22" s="2">
        <v>1.6E-2</v>
      </c>
      <c r="AU22" s="2">
        <v>0</v>
      </c>
      <c r="AV22" s="2">
        <v>0</v>
      </c>
      <c r="AW22" s="2">
        <v>0</v>
      </c>
      <c r="AX22" s="2">
        <v>0</v>
      </c>
      <c r="AY22" s="2">
        <v>1E-3</v>
      </c>
      <c r="AZ22" s="2">
        <v>0</v>
      </c>
      <c r="BA22" s="2">
        <v>1.0999999999999999E-2</v>
      </c>
      <c r="BB22" s="2">
        <v>1.0999999999999999E-2</v>
      </c>
      <c r="BC22" s="2">
        <v>8.0000000000000002E-3</v>
      </c>
      <c r="BD22" s="2">
        <v>1.7999999999999999E-2</v>
      </c>
      <c r="BE22" s="2">
        <v>3.4000000000000002E-2</v>
      </c>
      <c r="BF22" s="2">
        <v>2.1000000000000001E-2</v>
      </c>
      <c r="BG22" s="2">
        <v>1.6E-2</v>
      </c>
      <c r="BH22" s="2">
        <v>1.0999999999999999E-2</v>
      </c>
      <c r="BI22" s="2">
        <v>1.4E-2</v>
      </c>
      <c r="BJ22" s="2">
        <v>2.1999999999999999E-2</v>
      </c>
      <c r="BK22" s="2">
        <v>3.3000000000000002E-2</v>
      </c>
      <c r="BL22" s="2">
        <v>1.4E-2</v>
      </c>
      <c r="BM22" s="2">
        <v>4.9000000000000002E-2</v>
      </c>
      <c r="BN22" s="2">
        <v>3.5000000000000003E-2</v>
      </c>
      <c r="BO22" s="2">
        <v>-1.0999999999999999E-2</v>
      </c>
      <c r="BP22" s="2">
        <v>4.2000000000000003E-2</v>
      </c>
      <c r="BQ22" s="2">
        <v>-1.6E-2</v>
      </c>
      <c r="BR22" s="2">
        <v>8.0000000000000002E-3</v>
      </c>
      <c r="BS22" s="2">
        <v>0.96799999999999997</v>
      </c>
      <c r="BT22" s="2">
        <v>2.8000000000000001E-2</v>
      </c>
      <c r="BU22" s="2">
        <v>8.8049999999999997</v>
      </c>
      <c r="BV22" s="2">
        <v>1.7000000000000001E-2</v>
      </c>
      <c r="BW22" s="2">
        <v>1.4E-2</v>
      </c>
      <c r="BX22" s="2">
        <v>0.01</v>
      </c>
      <c r="BY22" s="2"/>
      <c r="BZ22" s="2"/>
    </row>
    <row r="23" spans="1:78" ht="16.2" customHeight="1" x14ac:dyDescent="0.3">
      <c r="A23" s="2"/>
      <c r="B23" s="2">
        <v>0.99</v>
      </c>
      <c r="C23" s="2">
        <v>0.06</v>
      </c>
      <c r="D23" s="2">
        <v>0.24299999999999999</v>
      </c>
      <c r="E23" s="2">
        <v>1.9E-2</v>
      </c>
      <c r="F23" s="2">
        <v>0</v>
      </c>
      <c r="G23" s="2">
        <v>0</v>
      </c>
      <c r="H23" s="2">
        <v>0</v>
      </c>
      <c r="I23" s="2">
        <v>0</v>
      </c>
      <c r="J23" s="2">
        <v>1E-3</v>
      </c>
      <c r="K23" s="2">
        <v>1E-3</v>
      </c>
      <c r="L23" s="2">
        <v>1.8979999999999999</v>
      </c>
      <c r="M23" s="2">
        <v>1.5229999999999999</v>
      </c>
      <c r="N23" s="2">
        <v>2.8109999999999999</v>
      </c>
      <c r="O23" s="2">
        <v>-0.32</v>
      </c>
      <c r="P23" s="2">
        <v>-0.311</v>
      </c>
      <c r="Q23" s="2">
        <v>-0.32900000000000001</v>
      </c>
      <c r="R23" s="2">
        <v>4.7E-2</v>
      </c>
      <c r="S23" s="2">
        <v>6.0999999999999999E-2</v>
      </c>
      <c r="T23" s="2">
        <v>3.1E-2</v>
      </c>
      <c r="U23" s="2">
        <v>-0.93600000000000005</v>
      </c>
      <c r="V23" s="2">
        <v>-0.92900000000000005</v>
      </c>
      <c r="W23" s="2">
        <v>-0.94099999999999995</v>
      </c>
      <c r="X23" s="2">
        <v>-2.8000000000000001E-2</v>
      </c>
      <c r="Y23" s="2">
        <v>0.01</v>
      </c>
      <c r="Z23" s="2">
        <v>-5.1999999999999998E-2</v>
      </c>
      <c r="AA23" s="2">
        <v>1.2E-2</v>
      </c>
      <c r="AB23" s="2">
        <v>4.9000000000000002E-2</v>
      </c>
      <c r="AC23" s="2">
        <v>-0.01</v>
      </c>
      <c r="AD23" s="2">
        <v>-4.9000000000000002E-2</v>
      </c>
      <c r="AE23" s="2">
        <v>-2E-3</v>
      </c>
      <c r="AF23" s="2">
        <v>-0.13200000000000001</v>
      </c>
      <c r="AG23" s="2">
        <v>1.3029999999999999</v>
      </c>
      <c r="AH23" s="2">
        <v>9.6000000000000002E-2</v>
      </c>
      <c r="AI23" s="2">
        <v>0.32</v>
      </c>
      <c r="AJ23" s="2">
        <v>4.8000000000000001E-2</v>
      </c>
      <c r="AK23" s="2">
        <v>0.93600000000000005</v>
      </c>
      <c r="AL23" s="2">
        <v>3.5000000000000003E-2</v>
      </c>
      <c r="AM23" s="2">
        <v>2.1000000000000001E-2</v>
      </c>
      <c r="AN23" s="2">
        <v>6.8000000000000005E-2</v>
      </c>
      <c r="AO23" s="2">
        <v>5.0000000000000001E-3</v>
      </c>
      <c r="AP23" s="2">
        <v>8.9999999999999993E-3</v>
      </c>
      <c r="AQ23" s="2">
        <v>3.0000000000000001E-3</v>
      </c>
      <c r="AR23" s="2">
        <v>1.9E-2</v>
      </c>
      <c r="AS23" s="2">
        <v>1.4999999999999999E-2</v>
      </c>
      <c r="AT23" s="2">
        <v>4.2000000000000003E-2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2E-3</v>
      </c>
      <c r="BA23" s="2">
        <v>6.0000000000000001E-3</v>
      </c>
      <c r="BB23" s="2">
        <v>0.01</v>
      </c>
      <c r="BC23" s="2">
        <v>4.0000000000000001E-3</v>
      </c>
      <c r="BD23" s="2">
        <v>2.1999999999999999E-2</v>
      </c>
      <c r="BE23" s="2">
        <v>1.7999999999999999E-2</v>
      </c>
      <c r="BF23" s="2">
        <v>4.7E-2</v>
      </c>
      <c r="BG23" s="2">
        <v>8.9999999999999993E-3</v>
      </c>
      <c r="BH23" s="2">
        <v>1.4999999999999999E-2</v>
      </c>
      <c r="BI23" s="2">
        <v>4.0000000000000001E-3</v>
      </c>
      <c r="BJ23" s="2">
        <v>3.3000000000000002E-2</v>
      </c>
      <c r="BK23" s="2">
        <v>2.5999999999999999E-2</v>
      </c>
      <c r="BL23" s="2">
        <v>7.9000000000000001E-2</v>
      </c>
      <c r="BM23" s="2">
        <v>-2E-3</v>
      </c>
      <c r="BN23" s="2">
        <v>6.4000000000000001E-2</v>
      </c>
      <c r="BO23" s="2">
        <v>6.0000000000000001E-3</v>
      </c>
      <c r="BP23" s="2">
        <v>-0.02</v>
      </c>
      <c r="BQ23" s="2">
        <v>-3.0000000000000001E-3</v>
      </c>
      <c r="BR23" s="2">
        <v>-0.193</v>
      </c>
      <c r="BS23" s="2">
        <v>1.0229999999999999</v>
      </c>
      <c r="BT23" s="2">
        <v>2.3E-2</v>
      </c>
      <c r="BU23" s="2">
        <v>8.7650000000000006</v>
      </c>
      <c r="BV23" s="2">
        <v>1.2E-2</v>
      </c>
      <c r="BW23" s="2">
        <v>5.0000000000000001E-3</v>
      </c>
      <c r="BX23" s="2">
        <v>4.5999999999999999E-2</v>
      </c>
      <c r="BY23" s="2"/>
      <c r="BZ23" s="2"/>
    </row>
    <row r="24" spans="1:78" ht="16.2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3">
      <c r="A25" s="1" t="s">
        <v>84</v>
      </c>
      <c r="B25" s="2">
        <f>B2-B14</f>
        <v>1.0000000000000009E-3</v>
      </c>
      <c r="C25" s="2">
        <f t="shared" ref="C25:BN25" si="0">C2-C14</f>
        <v>-1.0000000000000009E-3</v>
      </c>
      <c r="D25" s="2">
        <f t="shared" si="0"/>
        <v>1.0000000000000009E-3</v>
      </c>
      <c r="E25" s="2">
        <f t="shared" si="0"/>
        <v>0</v>
      </c>
      <c r="F25" s="2">
        <f t="shared" si="0"/>
        <v>0</v>
      </c>
      <c r="G25" s="2">
        <f t="shared" si="0"/>
        <v>0</v>
      </c>
      <c r="H25" s="2">
        <f t="shared" si="0"/>
        <v>0</v>
      </c>
      <c r="I25" s="2">
        <f t="shared" si="0"/>
        <v>0</v>
      </c>
      <c r="J25" s="2">
        <f t="shared" si="0"/>
        <v>0</v>
      </c>
      <c r="K25" s="2">
        <f t="shared" si="0"/>
        <v>0</v>
      </c>
      <c r="L25" s="2">
        <f t="shared" si="0"/>
        <v>9.9999999999988987E-4</v>
      </c>
      <c r="M25" s="2">
        <f t="shared" si="0"/>
        <v>-1.0000000000001119E-3</v>
      </c>
      <c r="N25" s="2">
        <f t="shared" si="0"/>
        <v>0</v>
      </c>
      <c r="O25" s="2">
        <f t="shared" si="0"/>
        <v>0</v>
      </c>
      <c r="P25" s="2">
        <f t="shared" si="0"/>
        <v>0</v>
      </c>
      <c r="Q25" s="2">
        <f t="shared" si="0"/>
        <v>0</v>
      </c>
      <c r="R25" s="2">
        <f t="shared" si="0"/>
        <v>0</v>
      </c>
      <c r="S25" s="2">
        <f t="shared" si="0"/>
        <v>0</v>
      </c>
      <c r="T25" s="2">
        <f t="shared" si="0"/>
        <v>0</v>
      </c>
      <c r="U25" s="2">
        <f t="shared" si="0"/>
        <v>0</v>
      </c>
      <c r="V25" s="2">
        <f t="shared" si="0"/>
        <v>0</v>
      </c>
      <c r="W25" s="2">
        <f t="shared" si="0"/>
        <v>0</v>
      </c>
      <c r="X25" s="2">
        <f t="shared" si="0"/>
        <v>-9.9999999999999742E-4</v>
      </c>
      <c r="Y25" s="2">
        <f t="shared" si="0"/>
        <v>0</v>
      </c>
      <c r="Z25" s="2">
        <f t="shared" si="0"/>
        <v>0</v>
      </c>
      <c r="AA25" s="2">
        <f t="shared" si="0"/>
        <v>0</v>
      </c>
      <c r="AB25" s="2">
        <f t="shared" si="0"/>
        <v>0</v>
      </c>
      <c r="AC25" s="2">
        <f t="shared" si="0"/>
        <v>0</v>
      </c>
      <c r="AD25" s="2">
        <f t="shared" si="0"/>
        <v>0</v>
      </c>
      <c r="AE25" s="2">
        <f t="shared" si="0"/>
        <v>0</v>
      </c>
      <c r="AF25" s="2">
        <f t="shared" si="0"/>
        <v>0</v>
      </c>
      <c r="AG25" s="2">
        <f t="shared" si="0"/>
        <v>0</v>
      </c>
      <c r="AH25" s="2">
        <f t="shared" si="0"/>
        <v>0</v>
      </c>
      <c r="AI25" s="2">
        <f t="shared" si="0"/>
        <v>0</v>
      </c>
      <c r="AJ25" s="2">
        <f t="shared" si="0"/>
        <v>0</v>
      </c>
      <c r="AK25" s="2">
        <f t="shared" si="0"/>
        <v>0</v>
      </c>
      <c r="AL25" s="2">
        <f t="shared" si="0"/>
        <v>0</v>
      </c>
      <c r="AM25" s="2">
        <f t="shared" si="0"/>
        <v>0</v>
      </c>
      <c r="AN25" s="2">
        <f t="shared" si="0"/>
        <v>0</v>
      </c>
      <c r="AO25" s="2">
        <f t="shared" si="0"/>
        <v>0</v>
      </c>
      <c r="AP25" s="2">
        <f t="shared" si="0"/>
        <v>0</v>
      </c>
      <c r="AQ25" s="2">
        <f t="shared" si="0"/>
        <v>0</v>
      </c>
      <c r="AR25" s="2">
        <f t="shared" si="0"/>
        <v>0</v>
      </c>
      <c r="AS25" s="2">
        <f t="shared" si="0"/>
        <v>0</v>
      </c>
      <c r="AT25" s="2">
        <f t="shared" si="0"/>
        <v>0</v>
      </c>
      <c r="AU25" s="2">
        <f t="shared" si="0"/>
        <v>0</v>
      </c>
      <c r="AV25" s="2">
        <f t="shared" si="0"/>
        <v>0</v>
      </c>
      <c r="AW25" s="2">
        <f t="shared" si="0"/>
        <v>0</v>
      </c>
      <c r="AX25" s="2">
        <f t="shared" si="0"/>
        <v>0</v>
      </c>
      <c r="AY25" s="2">
        <f t="shared" si="0"/>
        <v>0</v>
      </c>
      <c r="AZ25" s="2">
        <f t="shared" si="0"/>
        <v>0</v>
      </c>
      <c r="BA25" s="2">
        <f t="shared" si="0"/>
        <v>0</v>
      </c>
      <c r="BB25" s="2">
        <f t="shared" si="0"/>
        <v>0</v>
      </c>
      <c r="BC25" s="2">
        <f t="shared" si="0"/>
        <v>0</v>
      </c>
      <c r="BD25" s="2">
        <f t="shared" si="0"/>
        <v>0</v>
      </c>
      <c r="BE25" s="2">
        <f t="shared" si="0"/>
        <v>0</v>
      </c>
      <c r="BF25" s="2">
        <f t="shared" si="0"/>
        <v>0</v>
      </c>
      <c r="BG25" s="2">
        <f t="shared" si="0"/>
        <v>-1E-3</v>
      </c>
      <c r="BH25" s="2">
        <f t="shared" si="0"/>
        <v>1.0000000000000009E-3</v>
      </c>
      <c r="BI25" s="2">
        <f t="shared" si="0"/>
        <v>0</v>
      </c>
      <c r="BJ25" s="2">
        <f t="shared" si="0"/>
        <v>0</v>
      </c>
      <c r="BK25" s="2">
        <f t="shared" si="0"/>
        <v>1.0000000000000009E-3</v>
      </c>
      <c r="BL25" s="2">
        <f t="shared" si="0"/>
        <v>0</v>
      </c>
      <c r="BM25" s="2">
        <f t="shared" si="0"/>
        <v>1.0000000000000009E-3</v>
      </c>
      <c r="BN25" s="2">
        <f t="shared" si="0"/>
        <v>0</v>
      </c>
      <c r="BO25" s="2">
        <f t="shared" ref="BO25:BX25" si="1">BO2-BO14</f>
        <v>0</v>
      </c>
      <c r="BP25" s="2">
        <f t="shared" si="1"/>
        <v>0</v>
      </c>
      <c r="BQ25" s="2">
        <f t="shared" si="1"/>
        <v>0</v>
      </c>
      <c r="BR25" s="2">
        <f t="shared" si="1"/>
        <v>0</v>
      </c>
      <c r="BS25" s="2">
        <f t="shared" si="1"/>
        <v>-1.0000000000000009E-3</v>
      </c>
      <c r="BT25" s="2">
        <f t="shared" si="1"/>
        <v>-1.0000000000000009E-3</v>
      </c>
      <c r="BU25" s="2">
        <f t="shared" si="1"/>
        <v>-9.9999999999944578E-4</v>
      </c>
      <c r="BV25" s="2">
        <f t="shared" si="1"/>
        <v>0</v>
      </c>
      <c r="BW25" s="2">
        <f t="shared" si="1"/>
        <v>0</v>
      </c>
      <c r="BX25" s="2">
        <f t="shared" si="1"/>
        <v>0</v>
      </c>
      <c r="BY25" s="2"/>
      <c r="BZ25" s="2"/>
    </row>
    <row r="26" spans="1:78" x14ac:dyDescent="0.3">
      <c r="A26" s="2"/>
      <c r="B26" s="2">
        <f t="shared" ref="B26:BM26" si="2">B3-B15</f>
        <v>-1.0000000000000009E-3</v>
      </c>
      <c r="C26" s="2">
        <f t="shared" si="2"/>
        <v>0</v>
      </c>
      <c r="D26" s="2">
        <f t="shared" si="2"/>
        <v>0</v>
      </c>
      <c r="E26" s="2">
        <f t="shared" si="2"/>
        <v>0</v>
      </c>
      <c r="F26" s="2">
        <f t="shared" si="2"/>
        <v>0</v>
      </c>
      <c r="G26" s="2">
        <f t="shared" si="2"/>
        <v>0</v>
      </c>
      <c r="H26" s="2">
        <f t="shared" si="2"/>
        <v>0</v>
      </c>
      <c r="I26" s="2">
        <f t="shared" si="2"/>
        <v>0</v>
      </c>
      <c r="J26" s="2">
        <f t="shared" si="2"/>
        <v>-1E-3</v>
      </c>
      <c r="K26" s="2">
        <f t="shared" si="2"/>
        <v>-1E-3</v>
      </c>
      <c r="L26" s="2">
        <f t="shared" si="2"/>
        <v>0</v>
      </c>
      <c r="M26" s="2">
        <f t="shared" si="2"/>
        <v>0</v>
      </c>
      <c r="N26" s="2">
        <f t="shared" si="2"/>
        <v>0</v>
      </c>
      <c r="O26" s="2">
        <f t="shared" si="2"/>
        <v>0</v>
      </c>
      <c r="P26" s="2">
        <f t="shared" si="2"/>
        <v>0</v>
      </c>
      <c r="Q26" s="2">
        <f t="shared" si="2"/>
        <v>0</v>
      </c>
      <c r="R26" s="2">
        <f t="shared" si="2"/>
        <v>0</v>
      </c>
      <c r="S26" s="2">
        <f t="shared" si="2"/>
        <v>0</v>
      </c>
      <c r="T26" s="2">
        <f t="shared" si="2"/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2">
        <f t="shared" si="2"/>
        <v>0</v>
      </c>
      <c r="Y26" s="2">
        <f t="shared" si="2"/>
        <v>0</v>
      </c>
      <c r="Z26" s="2">
        <f t="shared" si="2"/>
        <v>0</v>
      </c>
      <c r="AA26" s="2">
        <f t="shared" si="2"/>
        <v>0</v>
      </c>
      <c r="AB26" s="2">
        <f t="shared" si="2"/>
        <v>0</v>
      </c>
      <c r="AC26" s="2">
        <f t="shared" si="2"/>
        <v>0</v>
      </c>
      <c r="AD26" s="2">
        <f t="shared" si="2"/>
        <v>0</v>
      </c>
      <c r="AE26" s="2">
        <f t="shared" si="2"/>
        <v>0</v>
      </c>
      <c r="AF26" s="2">
        <f t="shared" si="2"/>
        <v>0</v>
      </c>
      <c r="AG26" s="2">
        <f t="shared" si="2"/>
        <v>1.0000000000001119E-3</v>
      </c>
      <c r="AH26" s="2">
        <f t="shared" si="2"/>
        <v>0</v>
      </c>
      <c r="AI26" s="2">
        <f t="shared" si="2"/>
        <v>0</v>
      </c>
      <c r="AJ26" s="2">
        <f t="shared" si="2"/>
        <v>0</v>
      </c>
      <c r="AK26" s="2">
        <f t="shared" si="2"/>
        <v>0</v>
      </c>
      <c r="AL26" s="2">
        <f t="shared" si="2"/>
        <v>0</v>
      </c>
      <c r="AM26" s="2">
        <f t="shared" si="2"/>
        <v>0</v>
      </c>
      <c r="AN26" s="2">
        <f t="shared" si="2"/>
        <v>0</v>
      </c>
      <c r="AO26" s="2">
        <f t="shared" si="2"/>
        <v>0</v>
      </c>
      <c r="AP26" s="2">
        <f t="shared" si="2"/>
        <v>0</v>
      </c>
      <c r="AQ26" s="2">
        <f t="shared" si="2"/>
        <v>0</v>
      </c>
      <c r="AR26" s="2">
        <f t="shared" si="2"/>
        <v>0</v>
      </c>
      <c r="AS26" s="2">
        <f t="shared" si="2"/>
        <v>0</v>
      </c>
      <c r="AT26" s="2">
        <f t="shared" si="2"/>
        <v>0</v>
      </c>
      <c r="AU26" s="2">
        <f t="shared" si="2"/>
        <v>0</v>
      </c>
      <c r="AV26" s="2">
        <f t="shared" si="2"/>
        <v>0</v>
      </c>
      <c r="AW26" s="2">
        <f t="shared" si="2"/>
        <v>0</v>
      </c>
      <c r="AX26" s="2">
        <f t="shared" si="2"/>
        <v>0</v>
      </c>
      <c r="AY26" s="2">
        <f t="shared" si="2"/>
        <v>0</v>
      </c>
      <c r="AZ26" s="2">
        <f t="shared" si="2"/>
        <v>0</v>
      </c>
      <c r="BA26" s="2">
        <f t="shared" si="2"/>
        <v>9.9999999999999915E-4</v>
      </c>
      <c r="BB26" s="2">
        <f t="shared" si="2"/>
        <v>0</v>
      </c>
      <c r="BC26" s="2">
        <f t="shared" si="2"/>
        <v>9.9999999999999915E-4</v>
      </c>
      <c r="BD26" s="2">
        <f t="shared" si="2"/>
        <v>0</v>
      </c>
      <c r="BE26" s="2">
        <f t="shared" si="2"/>
        <v>0</v>
      </c>
      <c r="BF26" s="2">
        <f t="shared" si="2"/>
        <v>0</v>
      </c>
      <c r="BG26" s="2">
        <f t="shared" si="2"/>
        <v>0</v>
      </c>
      <c r="BH26" s="2">
        <f t="shared" si="2"/>
        <v>0</v>
      </c>
      <c r="BI26" s="2">
        <f t="shared" si="2"/>
        <v>0</v>
      </c>
      <c r="BJ26" s="2">
        <f t="shared" si="2"/>
        <v>0</v>
      </c>
      <c r="BK26" s="2">
        <f t="shared" si="2"/>
        <v>0</v>
      </c>
      <c r="BL26" s="2">
        <f t="shared" si="2"/>
        <v>0</v>
      </c>
      <c r="BM26" s="2">
        <f t="shared" si="2"/>
        <v>0</v>
      </c>
      <c r="BN26" s="2">
        <f t="shared" ref="BN26:BX26" si="3">BN3-BN15</f>
        <v>0</v>
      </c>
      <c r="BO26" s="2">
        <f t="shared" si="3"/>
        <v>9.9999999999999915E-4</v>
      </c>
      <c r="BP26" s="2">
        <f t="shared" si="3"/>
        <v>0</v>
      </c>
      <c r="BQ26" s="2">
        <f t="shared" si="3"/>
        <v>0</v>
      </c>
      <c r="BR26" s="2">
        <f t="shared" si="3"/>
        <v>0</v>
      </c>
      <c r="BS26" s="2">
        <f t="shared" si="3"/>
        <v>1.0000000000000009E-3</v>
      </c>
      <c r="BT26" s="2">
        <f t="shared" si="3"/>
        <v>0</v>
      </c>
      <c r="BU26" s="2">
        <f t="shared" si="3"/>
        <v>2.0000000000006679E-3</v>
      </c>
      <c r="BV26" s="2">
        <f t="shared" si="3"/>
        <v>0</v>
      </c>
      <c r="BW26" s="2">
        <f t="shared" si="3"/>
        <v>0</v>
      </c>
      <c r="BX26" s="2">
        <f t="shared" si="3"/>
        <v>0</v>
      </c>
      <c r="BY26" s="2"/>
      <c r="BZ26" s="2"/>
    </row>
    <row r="27" spans="1:78" x14ac:dyDescent="0.3">
      <c r="A27" s="2"/>
      <c r="B27" s="2">
        <f t="shared" ref="B27:BM27" si="4">B4-B16</f>
        <v>-1.0000000000000009E-3</v>
      </c>
      <c r="C27" s="2">
        <f t="shared" si="4"/>
        <v>0</v>
      </c>
      <c r="D27" s="2">
        <f t="shared" si="4"/>
        <v>0</v>
      </c>
      <c r="E27" s="2">
        <f t="shared" si="4"/>
        <v>0</v>
      </c>
      <c r="F27" s="2">
        <f t="shared" si="4"/>
        <v>0</v>
      </c>
      <c r="G27" s="2">
        <f t="shared" si="4"/>
        <v>0</v>
      </c>
      <c r="H27" s="2">
        <f t="shared" si="4"/>
        <v>0</v>
      </c>
      <c r="I27" s="2">
        <f t="shared" si="4"/>
        <v>-1E-3</v>
      </c>
      <c r="J27" s="2">
        <f t="shared" si="4"/>
        <v>0</v>
      </c>
      <c r="K27" s="2">
        <f t="shared" si="4"/>
        <v>0</v>
      </c>
      <c r="L27" s="2">
        <f t="shared" si="4"/>
        <v>-1.0000000000001119E-3</v>
      </c>
      <c r="M27" s="2">
        <f t="shared" si="4"/>
        <v>1.0000000000001119E-3</v>
      </c>
      <c r="N27" s="2">
        <f t="shared" si="4"/>
        <v>0</v>
      </c>
      <c r="O27" s="2">
        <f t="shared" si="4"/>
        <v>0</v>
      </c>
      <c r="P27" s="2">
        <f t="shared" si="4"/>
        <v>0</v>
      </c>
      <c r="Q27" s="2">
        <f t="shared" si="4"/>
        <v>0</v>
      </c>
      <c r="R27" s="2">
        <f t="shared" si="4"/>
        <v>0</v>
      </c>
      <c r="S27" s="2">
        <f t="shared" si="4"/>
        <v>0</v>
      </c>
      <c r="T27" s="2">
        <f t="shared" si="4"/>
        <v>0</v>
      </c>
      <c r="U27" s="2">
        <f t="shared" si="4"/>
        <v>0</v>
      </c>
      <c r="V27" s="2">
        <f t="shared" si="4"/>
        <v>0</v>
      </c>
      <c r="W27" s="2">
        <f t="shared" si="4"/>
        <v>0</v>
      </c>
      <c r="X27" s="2">
        <f t="shared" si="4"/>
        <v>0</v>
      </c>
      <c r="Y27" s="2">
        <f t="shared" si="4"/>
        <v>0</v>
      </c>
      <c r="Z27" s="2">
        <f t="shared" si="4"/>
        <v>0</v>
      </c>
      <c r="AA27" s="2">
        <f t="shared" si="4"/>
        <v>0</v>
      </c>
      <c r="AB27" s="2">
        <f t="shared" si="4"/>
        <v>0</v>
      </c>
      <c r="AC27" s="2">
        <f t="shared" si="4"/>
        <v>0</v>
      </c>
      <c r="AD27" s="2">
        <f t="shared" si="4"/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2">
        <f t="shared" si="4"/>
        <v>1.0000000000000009E-3</v>
      </c>
      <c r="AI27" s="2">
        <f t="shared" si="4"/>
        <v>0</v>
      </c>
      <c r="AJ27" s="2">
        <f t="shared" si="4"/>
        <v>0</v>
      </c>
      <c r="AK27" s="2">
        <f t="shared" si="4"/>
        <v>0</v>
      </c>
      <c r="AL27" s="2">
        <f t="shared" si="4"/>
        <v>0</v>
      </c>
      <c r="AM27" s="2">
        <f t="shared" si="4"/>
        <v>0</v>
      </c>
      <c r="AN27" s="2">
        <f t="shared" si="4"/>
        <v>0</v>
      </c>
      <c r="AO27" s="2">
        <f t="shared" si="4"/>
        <v>0</v>
      </c>
      <c r="AP27" s="2">
        <f t="shared" si="4"/>
        <v>0</v>
      </c>
      <c r="AQ27" s="2">
        <f t="shared" si="4"/>
        <v>0</v>
      </c>
      <c r="AR27" s="2">
        <f t="shared" si="4"/>
        <v>0</v>
      </c>
      <c r="AS27" s="2">
        <f t="shared" si="4"/>
        <v>0</v>
      </c>
      <c r="AT27" s="2">
        <f t="shared" si="4"/>
        <v>0</v>
      </c>
      <c r="AU27" s="2">
        <f t="shared" si="4"/>
        <v>0</v>
      </c>
      <c r="AV27" s="2">
        <f t="shared" si="4"/>
        <v>0</v>
      </c>
      <c r="AW27" s="2">
        <f t="shared" si="4"/>
        <v>0</v>
      </c>
      <c r="AX27" s="2">
        <f t="shared" si="4"/>
        <v>0</v>
      </c>
      <c r="AY27" s="2">
        <f t="shared" si="4"/>
        <v>0</v>
      </c>
      <c r="AZ27" s="2">
        <f t="shared" si="4"/>
        <v>0</v>
      </c>
      <c r="BA27" s="2">
        <f t="shared" si="4"/>
        <v>0</v>
      </c>
      <c r="BB27" s="2">
        <f t="shared" si="4"/>
        <v>0</v>
      </c>
      <c r="BC27" s="2">
        <f t="shared" si="4"/>
        <v>0</v>
      </c>
      <c r="BD27" s="2">
        <f t="shared" si="4"/>
        <v>0</v>
      </c>
      <c r="BE27" s="2">
        <f t="shared" si="4"/>
        <v>0</v>
      </c>
      <c r="BF27" s="2">
        <f t="shared" si="4"/>
        <v>0</v>
      </c>
      <c r="BG27" s="2">
        <f t="shared" si="4"/>
        <v>0</v>
      </c>
      <c r="BH27" s="2">
        <f t="shared" si="4"/>
        <v>1.0000000000000009E-3</v>
      </c>
      <c r="BI27" s="2">
        <f t="shared" si="4"/>
        <v>0</v>
      </c>
      <c r="BJ27" s="2">
        <f t="shared" si="4"/>
        <v>0</v>
      </c>
      <c r="BK27" s="2">
        <f t="shared" si="4"/>
        <v>0</v>
      </c>
      <c r="BL27" s="2">
        <f t="shared" si="4"/>
        <v>0</v>
      </c>
      <c r="BM27" s="2">
        <f t="shared" si="4"/>
        <v>0</v>
      </c>
      <c r="BN27" s="2">
        <f t="shared" ref="BN27:BX27" si="5">BN4-BN16</f>
        <v>0</v>
      </c>
      <c r="BO27" s="2">
        <f t="shared" si="5"/>
        <v>-1E-3</v>
      </c>
      <c r="BP27" s="2">
        <f t="shared" si="5"/>
        <v>0</v>
      </c>
      <c r="BQ27" s="2">
        <f t="shared" si="5"/>
        <v>0</v>
      </c>
      <c r="BR27" s="2">
        <f t="shared" si="5"/>
        <v>0</v>
      </c>
      <c r="BS27" s="2">
        <f t="shared" si="5"/>
        <v>0</v>
      </c>
      <c r="BT27" s="2">
        <f t="shared" si="5"/>
        <v>0</v>
      </c>
      <c r="BU27" s="2">
        <f t="shared" si="5"/>
        <v>0</v>
      </c>
      <c r="BV27" s="2">
        <f t="shared" si="5"/>
        <v>0</v>
      </c>
      <c r="BW27" s="2">
        <f t="shared" si="5"/>
        <v>0</v>
      </c>
      <c r="BX27" s="2">
        <f t="shared" si="5"/>
        <v>0</v>
      </c>
      <c r="BY27" s="2"/>
      <c r="BZ27" s="2"/>
    </row>
    <row r="28" spans="1:78" x14ac:dyDescent="0.3">
      <c r="A28" s="2"/>
      <c r="B28" s="2">
        <f t="shared" ref="B28:BM28" si="6">B5-B17</f>
        <v>0</v>
      </c>
      <c r="C28" s="2">
        <f t="shared" si="6"/>
        <v>-1.0000000000000009E-3</v>
      </c>
      <c r="D28" s="2">
        <f t="shared" si="6"/>
        <v>0</v>
      </c>
      <c r="E28" s="2">
        <f t="shared" si="6"/>
        <v>0</v>
      </c>
      <c r="F28" s="2">
        <f t="shared" si="6"/>
        <v>0</v>
      </c>
      <c r="G28" s="2">
        <f t="shared" si="6"/>
        <v>0</v>
      </c>
      <c r="H28" s="2">
        <f t="shared" si="6"/>
        <v>0</v>
      </c>
      <c r="I28" s="2">
        <f t="shared" si="6"/>
        <v>0</v>
      </c>
      <c r="J28" s="2">
        <f t="shared" si="6"/>
        <v>0</v>
      </c>
      <c r="K28" s="2">
        <f t="shared" si="6"/>
        <v>-1E-3</v>
      </c>
      <c r="L28" s="2">
        <f t="shared" si="6"/>
        <v>0</v>
      </c>
      <c r="M28" s="2">
        <f t="shared" si="6"/>
        <v>0</v>
      </c>
      <c r="N28" s="2">
        <f t="shared" si="6"/>
        <v>0</v>
      </c>
      <c r="O28" s="2">
        <f t="shared" si="6"/>
        <v>0</v>
      </c>
      <c r="P28" s="2">
        <f t="shared" si="6"/>
        <v>0</v>
      </c>
      <c r="Q28" s="2">
        <f t="shared" si="6"/>
        <v>0</v>
      </c>
      <c r="R28" s="2">
        <f t="shared" si="6"/>
        <v>0</v>
      </c>
      <c r="S28" s="2">
        <f t="shared" si="6"/>
        <v>0</v>
      </c>
      <c r="T28" s="2">
        <f t="shared" si="6"/>
        <v>0</v>
      </c>
      <c r="U28" s="2">
        <f t="shared" si="6"/>
        <v>0</v>
      </c>
      <c r="V28" s="2">
        <f t="shared" si="6"/>
        <v>0</v>
      </c>
      <c r="W28" s="2">
        <f t="shared" si="6"/>
        <v>0</v>
      </c>
      <c r="X28" s="2">
        <f t="shared" si="6"/>
        <v>0</v>
      </c>
      <c r="Y28" s="2">
        <f t="shared" si="6"/>
        <v>0</v>
      </c>
      <c r="Z28" s="2">
        <f t="shared" si="6"/>
        <v>0</v>
      </c>
      <c r="AA28" s="2">
        <f t="shared" si="6"/>
        <v>0</v>
      </c>
      <c r="AB28" s="2">
        <f t="shared" si="6"/>
        <v>0</v>
      </c>
      <c r="AC28" s="2">
        <f t="shared" si="6"/>
        <v>0</v>
      </c>
      <c r="AD28" s="2">
        <f t="shared" si="6"/>
        <v>0</v>
      </c>
      <c r="AE28" s="2">
        <f t="shared" si="6"/>
        <v>0</v>
      </c>
      <c r="AF28" s="2">
        <f t="shared" si="6"/>
        <v>0</v>
      </c>
      <c r="AG28" s="2">
        <f t="shared" si="6"/>
        <v>-9.9999999999988987E-4</v>
      </c>
      <c r="AH28" s="2">
        <f t="shared" si="6"/>
        <v>0</v>
      </c>
      <c r="AI28" s="2">
        <f t="shared" si="6"/>
        <v>0</v>
      </c>
      <c r="AJ28" s="2">
        <f t="shared" si="6"/>
        <v>0</v>
      </c>
      <c r="AK28" s="2">
        <f t="shared" si="6"/>
        <v>0</v>
      </c>
      <c r="AL28" s="2">
        <f t="shared" si="6"/>
        <v>0</v>
      </c>
      <c r="AM28" s="2">
        <f t="shared" si="6"/>
        <v>0</v>
      </c>
      <c r="AN28" s="2">
        <f t="shared" si="6"/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2">
        <f t="shared" si="6"/>
        <v>0</v>
      </c>
      <c r="AS28" s="2">
        <f t="shared" si="6"/>
        <v>0</v>
      </c>
      <c r="AT28" s="2">
        <f t="shared" si="6"/>
        <v>0</v>
      </c>
      <c r="AU28" s="2">
        <f t="shared" si="6"/>
        <v>0</v>
      </c>
      <c r="AV28" s="2">
        <f t="shared" si="6"/>
        <v>0</v>
      </c>
      <c r="AW28" s="2">
        <f t="shared" si="6"/>
        <v>0</v>
      </c>
      <c r="AX28" s="2">
        <f t="shared" si="6"/>
        <v>0</v>
      </c>
      <c r="AY28" s="2">
        <f t="shared" si="6"/>
        <v>0</v>
      </c>
      <c r="AZ28" s="2">
        <f t="shared" si="6"/>
        <v>0</v>
      </c>
      <c r="BA28" s="2">
        <f t="shared" si="6"/>
        <v>0</v>
      </c>
      <c r="BB28" s="2">
        <f t="shared" si="6"/>
        <v>0</v>
      </c>
      <c r="BC28" s="2">
        <f t="shared" si="6"/>
        <v>0</v>
      </c>
      <c r="BD28" s="2">
        <f t="shared" si="6"/>
        <v>0</v>
      </c>
      <c r="BE28" s="2">
        <f t="shared" si="6"/>
        <v>0</v>
      </c>
      <c r="BF28" s="2">
        <f t="shared" si="6"/>
        <v>0</v>
      </c>
      <c r="BG28" s="2">
        <f t="shared" si="6"/>
        <v>0</v>
      </c>
      <c r="BH28" s="2">
        <f t="shared" si="6"/>
        <v>0</v>
      </c>
      <c r="BI28" s="2">
        <f t="shared" si="6"/>
        <v>0</v>
      </c>
      <c r="BJ28" s="2">
        <f t="shared" si="6"/>
        <v>0</v>
      </c>
      <c r="BK28" s="2">
        <f t="shared" si="6"/>
        <v>0</v>
      </c>
      <c r="BL28" s="2">
        <f t="shared" si="6"/>
        <v>0</v>
      </c>
      <c r="BM28" s="2">
        <f t="shared" si="6"/>
        <v>1E-3</v>
      </c>
      <c r="BN28" s="2">
        <f t="shared" ref="BN28:BX28" si="7">BN5-BN17</f>
        <v>0</v>
      </c>
      <c r="BO28" s="2">
        <f t="shared" si="7"/>
        <v>-1E-3</v>
      </c>
      <c r="BP28" s="2">
        <f t="shared" si="7"/>
        <v>0</v>
      </c>
      <c r="BQ28" s="2">
        <f t="shared" si="7"/>
        <v>0</v>
      </c>
      <c r="BR28" s="2">
        <f t="shared" si="7"/>
        <v>0</v>
      </c>
      <c r="BS28" s="2">
        <f t="shared" si="7"/>
        <v>-1.0000000000000009E-3</v>
      </c>
      <c r="BT28" s="2">
        <f t="shared" si="7"/>
        <v>0</v>
      </c>
      <c r="BU28" s="2">
        <f t="shared" si="7"/>
        <v>9.9999999999944578E-4</v>
      </c>
      <c r="BV28" s="2">
        <f t="shared" si="7"/>
        <v>0</v>
      </c>
      <c r="BW28" s="2">
        <f t="shared" si="7"/>
        <v>0</v>
      </c>
      <c r="BX28" s="2">
        <f t="shared" si="7"/>
        <v>0</v>
      </c>
      <c r="BY28" s="2"/>
      <c r="BZ28" s="2"/>
    </row>
    <row r="29" spans="1:78" x14ac:dyDescent="0.3">
      <c r="A29" s="2"/>
      <c r="B29" s="2">
        <f t="shared" ref="B29:BM29" si="8">B6-B18</f>
        <v>1.0000000000000009E-3</v>
      </c>
      <c r="C29" s="2">
        <f t="shared" si="8"/>
        <v>0</v>
      </c>
      <c r="D29" s="2">
        <f t="shared" si="8"/>
        <v>0</v>
      </c>
      <c r="E29" s="2">
        <f t="shared" si="8"/>
        <v>0</v>
      </c>
      <c r="F29" s="2">
        <f t="shared" si="8"/>
        <v>0</v>
      </c>
      <c r="G29" s="2">
        <f t="shared" si="8"/>
        <v>0</v>
      </c>
      <c r="H29" s="2">
        <f t="shared" si="8"/>
        <v>0</v>
      </c>
      <c r="I29" s="2">
        <f t="shared" si="8"/>
        <v>0</v>
      </c>
      <c r="J29" s="2">
        <f t="shared" si="8"/>
        <v>0</v>
      </c>
      <c r="K29" s="2">
        <f t="shared" si="8"/>
        <v>0</v>
      </c>
      <c r="L29" s="2">
        <f t="shared" si="8"/>
        <v>0</v>
      </c>
      <c r="M29" s="2">
        <f t="shared" si="8"/>
        <v>0</v>
      </c>
      <c r="N29" s="2">
        <f t="shared" si="8"/>
        <v>0</v>
      </c>
      <c r="O29" s="2">
        <f t="shared" si="8"/>
        <v>0</v>
      </c>
      <c r="P29" s="2">
        <f t="shared" si="8"/>
        <v>0</v>
      </c>
      <c r="Q29" s="2">
        <f t="shared" si="8"/>
        <v>0</v>
      </c>
      <c r="R29" s="2">
        <f t="shared" si="8"/>
        <v>0</v>
      </c>
      <c r="S29" s="2">
        <f t="shared" si="8"/>
        <v>0</v>
      </c>
      <c r="T29" s="2">
        <f t="shared" si="8"/>
        <v>0</v>
      </c>
      <c r="U29" s="2">
        <f t="shared" si="8"/>
        <v>0</v>
      </c>
      <c r="V29" s="2">
        <f t="shared" si="8"/>
        <v>0</v>
      </c>
      <c r="W29" s="2">
        <f t="shared" si="8"/>
        <v>0</v>
      </c>
      <c r="X29" s="2">
        <f t="shared" si="8"/>
        <v>0</v>
      </c>
      <c r="Y29" s="2">
        <f t="shared" si="8"/>
        <v>0</v>
      </c>
      <c r="Z29" s="2">
        <f t="shared" si="8"/>
        <v>0</v>
      </c>
      <c r="AA29" s="2">
        <f t="shared" si="8"/>
        <v>1.0000000000000009E-3</v>
      </c>
      <c r="AB29" s="2">
        <f t="shared" si="8"/>
        <v>0</v>
      </c>
      <c r="AC29" s="2">
        <f t="shared" si="8"/>
        <v>0</v>
      </c>
      <c r="AD29" s="2">
        <f t="shared" si="8"/>
        <v>0</v>
      </c>
      <c r="AE29" s="2">
        <f t="shared" si="8"/>
        <v>0</v>
      </c>
      <c r="AF29" s="2">
        <f t="shared" si="8"/>
        <v>0</v>
      </c>
      <c r="AG29" s="2">
        <f t="shared" si="8"/>
        <v>0</v>
      </c>
      <c r="AH29" s="2">
        <f t="shared" si="8"/>
        <v>0</v>
      </c>
      <c r="AI29" s="2">
        <f t="shared" si="8"/>
        <v>0</v>
      </c>
      <c r="AJ29" s="2">
        <f t="shared" si="8"/>
        <v>0</v>
      </c>
      <c r="AK29" s="2">
        <f t="shared" si="8"/>
        <v>0</v>
      </c>
      <c r="AL29" s="2">
        <f t="shared" si="8"/>
        <v>0</v>
      </c>
      <c r="AM29" s="2">
        <f t="shared" si="8"/>
        <v>0</v>
      </c>
      <c r="AN29" s="2">
        <f t="shared" si="8"/>
        <v>0</v>
      </c>
      <c r="AO29" s="2">
        <f t="shared" si="8"/>
        <v>1E-3</v>
      </c>
      <c r="AP29" s="2">
        <f t="shared" si="8"/>
        <v>0</v>
      </c>
      <c r="AQ29" s="2">
        <f t="shared" si="8"/>
        <v>0</v>
      </c>
      <c r="AR29" s="2">
        <f t="shared" si="8"/>
        <v>0</v>
      </c>
      <c r="AS29" s="2">
        <f t="shared" si="8"/>
        <v>0</v>
      </c>
      <c r="AT29" s="2">
        <f t="shared" si="8"/>
        <v>0</v>
      </c>
      <c r="AU29" s="2">
        <f t="shared" si="8"/>
        <v>0</v>
      </c>
      <c r="AV29" s="2">
        <f t="shared" si="8"/>
        <v>0</v>
      </c>
      <c r="AW29" s="2">
        <f t="shared" si="8"/>
        <v>0</v>
      </c>
      <c r="AX29" s="2">
        <f t="shared" si="8"/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2">
        <f t="shared" si="8"/>
        <v>0</v>
      </c>
      <c r="BC29" s="2">
        <f t="shared" si="8"/>
        <v>0</v>
      </c>
      <c r="BD29" s="2">
        <f t="shared" si="8"/>
        <v>0</v>
      </c>
      <c r="BE29" s="2">
        <f t="shared" si="8"/>
        <v>0</v>
      </c>
      <c r="BF29" s="2">
        <f t="shared" si="8"/>
        <v>0</v>
      </c>
      <c r="BG29" s="2">
        <f t="shared" si="8"/>
        <v>1E-3</v>
      </c>
      <c r="BH29" s="2">
        <f t="shared" si="8"/>
        <v>0</v>
      </c>
      <c r="BI29" s="2">
        <f t="shared" si="8"/>
        <v>-1E-3</v>
      </c>
      <c r="BJ29" s="2">
        <f t="shared" si="8"/>
        <v>0</v>
      </c>
      <c r="BK29" s="2">
        <f t="shared" si="8"/>
        <v>-9.9999999999999915E-4</v>
      </c>
      <c r="BL29" s="2">
        <f t="shared" si="8"/>
        <v>0</v>
      </c>
      <c r="BM29" s="2">
        <f t="shared" si="8"/>
        <v>0</v>
      </c>
      <c r="BN29" s="2">
        <f t="shared" ref="BN29:BX29" si="9">BN6-BN18</f>
        <v>0</v>
      </c>
      <c r="BO29" s="2">
        <f t="shared" si="9"/>
        <v>-1.0000000000000009E-3</v>
      </c>
      <c r="BP29" s="2">
        <f t="shared" si="9"/>
        <v>0</v>
      </c>
      <c r="BQ29" s="2">
        <f t="shared" si="9"/>
        <v>0</v>
      </c>
      <c r="BR29" s="2">
        <f t="shared" si="9"/>
        <v>0</v>
      </c>
      <c r="BS29" s="2">
        <f t="shared" si="9"/>
        <v>-1.0000000000000009E-3</v>
      </c>
      <c r="BT29" s="2">
        <f t="shared" si="9"/>
        <v>0</v>
      </c>
      <c r="BU29" s="2">
        <f t="shared" si="9"/>
        <v>3.9999999999995595E-3</v>
      </c>
      <c r="BV29" s="2">
        <f t="shared" si="9"/>
        <v>0</v>
      </c>
      <c r="BW29" s="2">
        <f t="shared" si="9"/>
        <v>0</v>
      </c>
      <c r="BX29" s="2">
        <f t="shared" si="9"/>
        <v>0</v>
      </c>
      <c r="BY29" s="2"/>
      <c r="BZ29" s="2"/>
    </row>
    <row r="30" spans="1:78" x14ac:dyDescent="0.3">
      <c r="A30" s="2"/>
      <c r="B30" s="2">
        <f t="shared" ref="B30:BM30" si="10">B7-B19</f>
        <v>0</v>
      </c>
      <c r="C30" s="2">
        <f t="shared" si="10"/>
        <v>0</v>
      </c>
      <c r="D30" s="2">
        <f t="shared" si="10"/>
        <v>-2.0000000000000018E-3</v>
      </c>
      <c r="E30" s="2">
        <f t="shared" si="10"/>
        <v>0</v>
      </c>
      <c r="F30" s="2">
        <f t="shared" si="10"/>
        <v>0</v>
      </c>
      <c r="G30" s="2">
        <f t="shared" si="10"/>
        <v>0</v>
      </c>
      <c r="H30" s="2">
        <f t="shared" si="10"/>
        <v>0</v>
      </c>
      <c r="I30" s="2">
        <f t="shared" si="10"/>
        <v>0</v>
      </c>
      <c r="J30" s="2">
        <f t="shared" si="10"/>
        <v>0</v>
      </c>
      <c r="K30" s="2">
        <f t="shared" si="10"/>
        <v>0</v>
      </c>
      <c r="L30" s="2">
        <f t="shared" si="10"/>
        <v>0</v>
      </c>
      <c r="M30" s="2">
        <f t="shared" si="10"/>
        <v>1.0000000000001119E-3</v>
      </c>
      <c r="N30" s="2">
        <f t="shared" si="10"/>
        <v>0</v>
      </c>
      <c r="O30" s="2">
        <f t="shared" si="10"/>
        <v>0</v>
      </c>
      <c r="P30" s="2">
        <f t="shared" si="10"/>
        <v>0</v>
      </c>
      <c r="Q30" s="2">
        <f t="shared" si="10"/>
        <v>0</v>
      </c>
      <c r="R30" s="2">
        <f t="shared" si="10"/>
        <v>0</v>
      </c>
      <c r="S30" s="2">
        <f t="shared" si="10"/>
        <v>0</v>
      </c>
      <c r="T30" s="2">
        <f t="shared" si="10"/>
        <v>0</v>
      </c>
      <c r="U30" s="2">
        <f t="shared" si="10"/>
        <v>0</v>
      </c>
      <c r="V30" s="2">
        <f t="shared" si="10"/>
        <v>0</v>
      </c>
      <c r="W30" s="2">
        <f t="shared" si="10"/>
        <v>0</v>
      </c>
      <c r="X30" s="2">
        <f t="shared" si="10"/>
        <v>0</v>
      </c>
      <c r="Y30" s="2">
        <f t="shared" si="10"/>
        <v>0</v>
      </c>
      <c r="Z30" s="2">
        <f t="shared" si="10"/>
        <v>0</v>
      </c>
      <c r="AA30" s="2">
        <f t="shared" si="10"/>
        <v>0</v>
      </c>
      <c r="AB30" s="2">
        <f t="shared" si="10"/>
        <v>0</v>
      </c>
      <c r="AC30" s="2">
        <f t="shared" si="10"/>
        <v>0</v>
      </c>
      <c r="AD30" s="2">
        <f t="shared" si="10"/>
        <v>0</v>
      </c>
      <c r="AE30" s="2">
        <f t="shared" si="10"/>
        <v>0</v>
      </c>
      <c r="AF30" s="2">
        <f t="shared" si="10"/>
        <v>0</v>
      </c>
      <c r="AG30" s="2">
        <f t="shared" si="10"/>
        <v>0</v>
      </c>
      <c r="AH30" s="2">
        <f t="shared" si="10"/>
        <v>0</v>
      </c>
      <c r="AI30" s="2">
        <f t="shared" si="10"/>
        <v>0</v>
      </c>
      <c r="AJ30" s="2">
        <f t="shared" si="10"/>
        <v>0</v>
      </c>
      <c r="AK30" s="2">
        <f t="shared" si="10"/>
        <v>0</v>
      </c>
      <c r="AL30" s="2">
        <f t="shared" si="10"/>
        <v>0</v>
      </c>
      <c r="AM30" s="2">
        <f t="shared" si="10"/>
        <v>0</v>
      </c>
      <c r="AN30" s="2">
        <f t="shared" si="10"/>
        <v>0</v>
      </c>
      <c r="AO30" s="2">
        <f t="shared" si="10"/>
        <v>0</v>
      </c>
      <c r="AP30" s="2">
        <f t="shared" si="10"/>
        <v>0</v>
      </c>
      <c r="AQ30" s="2">
        <f t="shared" si="10"/>
        <v>0</v>
      </c>
      <c r="AR30" s="2">
        <f t="shared" si="10"/>
        <v>0</v>
      </c>
      <c r="AS30" s="2">
        <f t="shared" si="10"/>
        <v>0</v>
      </c>
      <c r="AT30" s="2">
        <f t="shared" si="10"/>
        <v>0</v>
      </c>
      <c r="AU30" s="2">
        <f t="shared" si="10"/>
        <v>0</v>
      </c>
      <c r="AV30" s="2">
        <f t="shared" si="10"/>
        <v>0</v>
      </c>
      <c r="AW30" s="2">
        <f t="shared" si="10"/>
        <v>0</v>
      </c>
      <c r="AX30" s="2">
        <f t="shared" si="10"/>
        <v>0</v>
      </c>
      <c r="AY30" s="2">
        <f t="shared" si="10"/>
        <v>0</v>
      </c>
      <c r="AZ30" s="2">
        <f t="shared" si="10"/>
        <v>0</v>
      </c>
      <c r="BA30" s="2">
        <f t="shared" si="10"/>
        <v>-1E-3</v>
      </c>
      <c r="BB30" s="2">
        <f t="shared" si="10"/>
        <v>0</v>
      </c>
      <c r="BC30" s="2">
        <f t="shared" si="10"/>
        <v>0</v>
      </c>
      <c r="BD30" s="2">
        <f t="shared" si="10"/>
        <v>0</v>
      </c>
      <c r="BE30" s="2">
        <f t="shared" si="10"/>
        <v>0</v>
      </c>
      <c r="BF30" s="2">
        <f t="shared" si="10"/>
        <v>0</v>
      </c>
      <c r="BG30" s="2">
        <f t="shared" si="10"/>
        <v>0</v>
      </c>
      <c r="BH30" s="2">
        <f t="shared" si="10"/>
        <v>0</v>
      </c>
      <c r="BI30" s="2">
        <f t="shared" si="10"/>
        <v>0</v>
      </c>
      <c r="BJ30" s="2">
        <f t="shared" si="10"/>
        <v>-1.0000000000000009E-3</v>
      </c>
      <c r="BK30" s="2">
        <f t="shared" si="10"/>
        <v>0</v>
      </c>
      <c r="BL30" s="2">
        <f t="shared" si="10"/>
        <v>0</v>
      </c>
      <c r="BM30" s="2">
        <f t="shared" si="10"/>
        <v>1.0000000000000009E-3</v>
      </c>
      <c r="BN30" s="2">
        <f t="shared" ref="BN30:BX30" si="11">BN7-BN19</f>
        <v>0</v>
      </c>
      <c r="BO30" s="2">
        <f t="shared" si="11"/>
        <v>0</v>
      </c>
      <c r="BP30" s="2">
        <f t="shared" si="11"/>
        <v>0</v>
      </c>
      <c r="BQ30" s="2">
        <f t="shared" si="11"/>
        <v>0</v>
      </c>
      <c r="BR30" s="2">
        <f t="shared" si="11"/>
        <v>0</v>
      </c>
      <c r="BS30" s="2">
        <f t="shared" si="11"/>
        <v>0</v>
      </c>
      <c r="BT30" s="2">
        <f t="shared" si="11"/>
        <v>0</v>
      </c>
      <c r="BU30" s="2">
        <f t="shared" si="11"/>
        <v>-1.0000000000012221E-3</v>
      </c>
      <c r="BV30" s="2">
        <f t="shared" si="11"/>
        <v>0</v>
      </c>
      <c r="BW30" s="2">
        <f t="shared" si="11"/>
        <v>0</v>
      </c>
      <c r="BX30" s="2">
        <f t="shared" si="11"/>
        <v>0</v>
      </c>
      <c r="BY30" s="2"/>
      <c r="BZ30" s="2"/>
    </row>
    <row r="31" spans="1:78" x14ac:dyDescent="0.3">
      <c r="A31" s="2"/>
      <c r="B31" s="2">
        <f t="shared" ref="B31:BM31" si="12">B8-B20</f>
        <v>0</v>
      </c>
      <c r="C31" s="2">
        <f t="shared" si="12"/>
        <v>0</v>
      </c>
      <c r="D31" s="2">
        <f t="shared" si="12"/>
        <v>-1.0000000000000009E-3</v>
      </c>
      <c r="E31" s="2">
        <f t="shared" si="12"/>
        <v>9.9999999999999742E-4</v>
      </c>
      <c r="F31" s="2">
        <f t="shared" si="12"/>
        <v>0</v>
      </c>
      <c r="G31" s="2">
        <f t="shared" si="12"/>
        <v>0</v>
      </c>
      <c r="H31" s="2">
        <f t="shared" si="12"/>
        <v>0</v>
      </c>
      <c r="I31" s="2">
        <f t="shared" si="12"/>
        <v>0</v>
      </c>
      <c r="J31" s="2">
        <f t="shared" si="12"/>
        <v>0</v>
      </c>
      <c r="K31" s="2">
        <f t="shared" si="12"/>
        <v>0</v>
      </c>
      <c r="L31" s="2">
        <f t="shared" si="12"/>
        <v>1.0000000000001119E-3</v>
      </c>
      <c r="M31" s="2">
        <f t="shared" si="12"/>
        <v>1.0000000000001119E-3</v>
      </c>
      <c r="N31" s="2">
        <f t="shared" si="12"/>
        <v>0</v>
      </c>
      <c r="O31" s="2">
        <f t="shared" si="12"/>
        <v>0</v>
      </c>
      <c r="P31" s="2">
        <f t="shared" si="12"/>
        <v>0</v>
      </c>
      <c r="Q31" s="2">
        <f t="shared" si="12"/>
        <v>0</v>
      </c>
      <c r="R31" s="2">
        <f t="shared" si="12"/>
        <v>0</v>
      </c>
      <c r="S31" s="2">
        <f t="shared" si="12"/>
        <v>0</v>
      </c>
      <c r="T31" s="2">
        <f t="shared" si="12"/>
        <v>0</v>
      </c>
      <c r="U31" s="2">
        <f t="shared" si="12"/>
        <v>0</v>
      </c>
      <c r="V31" s="2">
        <f t="shared" si="12"/>
        <v>0</v>
      </c>
      <c r="W31" s="2">
        <f t="shared" si="12"/>
        <v>0</v>
      </c>
      <c r="X31" s="2">
        <f t="shared" si="12"/>
        <v>0</v>
      </c>
      <c r="Y31" s="2">
        <f t="shared" si="12"/>
        <v>0</v>
      </c>
      <c r="Z31" s="2">
        <f t="shared" si="12"/>
        <v>0</v>
      </c>
      <c r="AA31" s="2">
        <f t="shared" si="12"/>
        <v>0</v>
      </c>
      <c r="AB31" s="2">
        <f t="shared" si="12"/>
        <v>0</v>
      </c>
      <c r="AC31" s="2">
        <f t="shared" si="12"/>
        <v>0</v>
      </c>
      <c r="AD31" s="2">
        <f t="shared" si="12"/>
        <v>0</v>
      </c>
      <c r="AE31" s="2">
        <f t="shared" si="12"/>
        <v>0</v>
      </c>
      <c r="AF31" s="2">
        <f t="shared" si="12"/>
        <v>0</v>
      </c>
      <c r="AG31" s="2">
        <f t="shared" si="12"/>
        <v>9.9999999999988987E-4</v>
      </c>
      <c r="AH31" s="2">
        <f t="shared" si="12"/>
        <v>0</v>
      </c>
      <c r="AI31" s="2">
        <f t="shared" si="12"/>
        <v>0</v>
      </c>
      <c r="AJ31" s="2">
        <f t="shared" si="12"/>
        <v>0</v>
      </c>
      <c r="AK31" s="2">
        <f t="shared" si="12"/>
        <v>0</v>
      </c>
      <c r="AL31" s="2">
        <f t="shared" si="12"/>
        <v>0</v>
      </c>
      <c r="AM31" s="2">
        <f t="shared" si="12"/>
        <v>0</v>
      </c>
      <c r="AN31" s="2">
        <f t="shared" si="12"/>
        <v>0</v>
      </c>
      <c r="AO31" s="2">
        <f t="shared" si="12"/>
        <v>0</v>
      </c>
      <c r="AP31" s="2">
        <f t="shared" si="12"/>
        <v>0</v>
      </c>
      <c r="AQ31" s="2">
        <f t="shared" si="12"/>
        <v>0</v>
      </c>
      <c r="AR31" s="2">
        <f t="shared" si="12"/>
        <v>0</v>
      </c>
      <c r="AS31" s="2">
        <f t="shared" si="12"/>
        <v>0</v>
      </c>
      <c r="AT31" s="2">
        <f t="shared" si="12"/>
        <v>0</v>
      </c>
      <c r="AU31" s="2">
        <f t="shared" si="12"/>
        <v>0</v>
      </c>
      <c r="AV31" s="2">
        <f t="shared" si="12"/>
        <v>0</v>
      </c>
      <c r="AW31" s="2">
        <f t="shared" si="12"/>
        <v>0</v>
      </c>
      <c r="AX31" s="2">
        <f t="shared" si="12"/>
        <v>0</v>
      </c>
      <c r="AY31" s="2">
        <f t="shared" si="12"/>
        <v>0</v>
      </c>
      <c r="AZ31" s="2">
        <f t="shared" si="12"/>
        <v>0</v>
      </c>
      <c r="BA31" s="2">
        <f t="shared" si="12"/>
        <v>0</v>
      </c>
      <c r="BB31" s="2">
        <f t="shared" si="12"/>
        <v>1E-3</v>
      </c>
      <c r="BC31" s="2">
        <f t="shared" si="12"/>
        <v>0</v>
      </c>
      <c r="BD31" s="2">
        <f t="shared" si="12"/>
        <v>0</v>
      </c>
      <c r="BE31" s="2">
        <f t="shared" si="12"/>
        <v>0</v>
      </c>
      <c r="BF31" s="2">
        <f t="shared" si="12"/>
        <v>0</v>
      </c>
      <c r="BG31" s="2">
        <f t="shared" si="12"/>
        <v>0</v>
      </c>
      <c r="BH31" s="2">
        <f t="shared" si="12"/>
        <v>0</v>
      </c>
      <c r="BI31" s="2">
        <f t="shared" si="12"/>
        <v>0</v>
      </c>
      <c r="BJ31" s="2">
        <f t="shared" si="12"/>
        <v>0</v>
      </c>
      <c r="BK31" s="2">
        <f t="shared" si="12"/>
        <v>0</v>
      </c>
      <c r="BL31" s="2">
        <f t="shared" si="12"/>
        <v>0</v>
      </c>
      <c r="BM31" s="2">
        <f t="shared" si="12"/>
        <v>0</v>
      </c>
      <c r="BN31" s="2">
        <f t="shared" ref="BN31:BX31" si="13">BN8-BN20</f>
        <v>0</v>
      </c>
      <c r="BO31" s="2">
        <f t="shared" si="13"/>
        <v>0</v>
      </c>
      <c r="BP31" s="2">
        <f t="shared" si="13"/>
        <v>0</v>
      </c>
      <c r="BQ31" s="2">
        <f t="shared" si="13"/>
        <v>0</v>
      </c>
      <c r="BR31" s="2">
        <f t="shared" si="13"/>
        <v>0</v>
      </c>
      <c r="BS31" s="2">
        <f t="shared" si="13"/>
        <v>1.0000000000000009E-3</v>
      </c>
      <c r="BT31" s="2">
        <f t="shared" si="13"/>
        <v>0</v>
      </c>
      <c r="BU31" s="2">
        <f t="shared" si="13"/>
        <v>-9.9999999999944578E-4</v>
      </c>
      <c r="BV31" s="2">
        <f t="shared" si="13"/>
        <v>0</v>
      </c>
      <c r="BW31" s="2">
        <f t="shared" si="13"/>
        <v>0</v>
      </c>
      <c r="BX31" s="2">
        <f t="shared" si="13"/>
        <v>0</v>
      </c>
      <c r="BY31" s="2"/>
      <c r="BZ31" s="2"/>
    </row>
    <row r="32" spans="1:78" x14ac:dyDescent="0.3">
      <c r="A32" s="2"/>
      <c r="B32" s="2">
        <f t="shared" ref="B32:BM32" si="14">B9-B21</f>
        <v>-1.0000000000000009E-3</v>
      </c>
      <c r="C32" s="2">
        <f t="shared" si="14"/>
        <v>0</v>
      </c>
      <c r="D32" s="2">
        <f t="shared" si="14"/>
        <v>0</v>
      </c>
      <c r="E32" s="2">
        <f t="shared" si="14"/>
        <v>0</v>
      </c>
      <c r="F32" s="2">
        <f t="shared" si="14"/>
        <v>0</v>
      </c>
      <c r="G32" s="2">
        <f t="shared" si="14"/>
        <v>0</v>
      </c>
      <c r="H32" s="2">
        <f t="shared" si="14"/>
        <v>0</v>
      </c>
      <c r="I32" s="2">
        <f t="shared" si="14"/>
        <v>0</v>
      </c>
      <c r="J32" s="2">
        <f t="shared" si="14"/>
        <v>0</v>
      </c>
      <c r="K32" s="2">
        <f t="shared" si="14"/>
        <v>0</v>
      </c>
      <c r="L32" s="2">
        <f t="shared" si="14"/>
        <v>1.0000000000001119E-3</v>
      </c>
      <c r="M32" s="2">
        <f t="shared" si="14"/>
        <v>0</v>
      </c>
      <c r="N32" s="2">
        <f t="shared" si="14"/>
        <v>0</v>
      </c>
      <c r="O32" s="2">
        <f t="shared" si="14"/>
        <v>0</v>
      </c>
      <c r="P32" s="2">
        <f t="shared" si="14"/>
        <v>0</v>
      </c>
      <c r="Q32" s="2">
        <f t="shared" si="14"/>
        <v>0</v>
      </c>
      <c r="R32" s="2">
        <f t="shared" si="14"/>
        <v>-1.0000000000000009E-3</v>
      </c>
      <c r="S32" s="2">
        <f t="shared" si="14"/>
        <v>0</v>
      </c>
      <c r="T32" s="2">
        <f t="shared" si="14"/>
        <v>0</v>
      </c>
      <c r="U32" s="2">
        <f t="shared" si="14"/>
        <v>0</v>
      </c>
      <c r="V32" s="2">
        <f t="shared" si="14"/>
        <v>0</v>
      </c>
      <c r="W32" s="2">
        <f t="shared" si="14"/>
        <v>0</v>
      </c>
      <c r="X32" s="2">
        <f t="shared" si="14"/>
        <v>0</v>
      </c>
      <c r="Y32" s="2">
        <f t="shared" si="14"/>
        <v>0</v>
      </c>
      <c r="Z32" s="2">
        <f t="shared" si="14"/>
        <v>0</v>
      </c>
      <c r="AA32" s="2">
        <f t="shared" si="14"/>
        <v>0</v>
      </c>
      <c r="AB32" s="2">
        <f t="shared" si="14"/>
        <v>0</v>
      </c>
      <c r="AC32" s="2">
        <f t="shared" si="14"/>
        <v>0</v>
      </c>
      <c r="AD32" s="2">
        <f t="shared" si="14"/>
        <v>0</v>
      </c>
      <c r="AE32" s="2">
        <f t="shared" si="14"/>
        <v>0</v>
      </c>
      <c r="AF32" s="2">
        <f t="shared" si="14"/>
        <v>0</v>
      </c>
      <c r="AG32" s="2">
        <f t="shared" si="14"/>
        <v>0</v>
      </c>
      <c r="AH32" s="2">
        <f t="shared" si="14"/>
        <v>0</v>
      </c>
      <c r="AI32" s="2">
        <f t="shared" si="14"/>
        <v>0</v>
      </c>
      <c r="AJ32" s="2">
        <f t="shared" si="14"/>
        <v>0</v>
      </c>
      <c r="AK32" s="2">
        <f t="shared" si="14"/>
        <v>0</v>
      </c>
      <c r="AL32" s="2">
        <f t="shared" si="14"/>
        <v>0</v>
      </c>
      <c r="AM32" s="2">
        <f t="shared" si="14"/>
        <v>0</v>
      </c>
      <c r="AN32" s="2">
        <f t="shared" si="14"/>
        <v>0</v>
      </c>
      <c r="AO32" s="2">
        <f t="shared" si="14"/>
        <v>0</v>
      </c>
      <c r="AP32" s="2">
        <f t="shared" si="14"/>
        <v>0</v>
      </c>
      <c r="AQ32" s="2">
        <f t="shared" si="14"/>
        <v>0</v>
      </c>
      <c r="AR32" s="2">
        <f t="shared" si="14"/>
        <v>0</v>
      </c>
      <c r="AS32" s="2">
        <f t="shared" si="14"/>
        <v>0</v>
      </c>
      <c r="AT32" s="2">
        <f t="shared" si="14"/>
        <v>0</v>
      </c>
      <c r="AU32" s="2">
        <f t="shared" si="14"/>
        <v>0</v>
      </c>
      <c r="AV32" s="2">
        <f t="shared" si="14"/>
        <v>0</v>
      </c>
      <c r="AW32" s="2">
        <f t="shared" si="14"/>
        <v>0</v>
      </c>
      <c r="AX32" s="2">
        <f t="shared" si="14"/>
        <v>0</v>
      </c>
      <c r="AY32" s="2">
        <f t="shared" si="14"/>
        <v>0</v>
      </c>
      <c r="AZ32" s="2">
        <f t="shared" si="14"/>
        <v>0</v>
      </c>
      <c r="BA32" s="2">
        <f t="shared" si="14"/>
        <v>0</v>
      </c>
      <c r="BB32" s="2">
        <f t="shared" si="14"/>
        <v>0</v>
      </c>
      <c r="BC32" s="2">
        <f t="shared" si="14"/>
        <v>0</v>
      </c>
      <c r="BD32" s="2">
        <f t="shared" si="14"/>
        <v>0</v>
      </c>
      <c r="BE32" s="2">
        <f t="shared" si="14"/>
        <v>0</v>
      </c>
      <c r="BF32" s="2">
        <f t="shared" si="14"/>
        <v>0</v>
      </c>
      <c r="BG32" s="2">
        <f t="shared" si="14"/>
        <v>1E-3</v>
      </c>
      <c r="BH32" s="2">
        <f t="shared" si="14"/>
        <v>0</v>
      </c>
      <c r="BI32" s="2">
        <f t="shared" si="14"/>
        <v>1E-3</v>
      </c>
      <c r="BJ32" s="2">
        <f t="shared" si="14"/>
        <v>0</v>
      </c>
      <c r="BK32" s="2">
        <f t="shared" si="14"/>
        <v>0</v>
      </c>
      <c r="BL32" s="2">
        <f t="shared" si="14"/>
        <v>0</v>
      </c>
      <c r="BM32" s="2">
        <f t="shared" si="14"/>
        <v>0</v>
      </c>
      <c r="BN32" s="2">
        <f t="shared" ref="BN32:BX32" si="15">BN9-BN21</f>
        <v>0</v>
      </c>
      <c r="BO32" s="2">
        <f t="shared" si="15"/>
        <v>0</v>
      </c>
      <c r="BP32" s="2">
        <f t="shared" si="15"/>
        <v>0</v>
      </c>
      <c r="BQ32" s="2">
        <f t="shared" si="15"/>
        <v>0</v>
      </c>
      <c r="BR32" s="2">
        <f t="shared" si="15"/>
        <v>0</v>
      </c>
      <c r="BS32" s="2">
        <f t="shared" si="15"/>
        <v>1.0000000000000009E-3</v>
      </c>
      <c r="BT32" s="2">
        <f t="shared" si="15"/>
        <v>-1.0000000000000009E-3</v>
      </c>
      <c r="BU32" s="2">
        <f t="shared" si="15"/>
        <v>-9.9999999999944578E-4</v>
      </c>
      <c r="BV32" s="2">
        <f t="shared" si="15"/>
        <v>0</v>
      </c>
      <c r="BW32" s="2">
        <f t="shared" si="15"/>
        <v>0</v>
      </c>
      <c r="BX32" s="2">
        <f t="shared" si="15"/>
        <v>0</v>
      </c>
      <c r="BY32" s="2"/>
      <c r="BZ32" s="2"/>
    </row>
    <row r="33" spans="1:78" x14ac:dyDescent="0.3">
      <c r="A33" s="2"/>
      <c r="B33" s="2">
        <f t="shared" ref="B33:BM34" si="16">B10-B22</f>
        <v>-1.0000000000000009E-3</v>
      </c>
      <c r="C33" s="2">
        <f t="shared" si="16"/>
        <v>0</v>
      </c>
      <c r="D33" s="2">
        <f t="shared" si="16"/>
        <v>0</v>
      </c>
      <c r="E33" s="2">
        <f t="shared" si="16"/>
        <v>0</v>
      </c>
      <c r="F33" s="2">
        <f t="shared" si="16"/>
        <v>0</v>
      </c>
      <c r="G33" s="2">
        <f t="shared" si="16"/>
        <v>0</v>
      </c>
      <c r="H33" s="2">
        <f t="shared" si="16"/>
        <v>0</v>
      </c>
      <c r="I33" s="2">
        <f t="shared" si="16"/>
        <v>0</v>
      </c>
      <c r="J33" s="2">
        <f t="shared" si="16"/>
        <v>0</v>
      </c>
      <c r="K33" s="2">
        <f t="shared" si="16"/>
        <v>0</v>
      </c>
      <c r="L33" s="2">
        <f t="shared" si="16"/>
        <v>-1.0000000000001119E-3</v>
      </c>
      <c r="M33" s="2">
        <f t="shared" si="16"/>
        <v>-1.0000000000001119E-3</v>
      </c>
      <c r="N33" s="2">
        <f t="shared" si="16"/>
        <v>9.9999999999988987E-4</v>
      </c>
      <c r="O33" s="2">
        <f t="shared" si="16"/>
        <v>0</v>
      </c>
      <c r="P33" s="2">
        <f t="shared" si="16"/>
        <v>0</v>
      </c>
      <c r="Q33" s="2">
        <f t="shared" si="16"/>
        <v>0</v>
      </c>
      <c r="R33" s="2">
        <f t="shared" si="16"/>
        <v>-1.0000000000000009E-3</v>
      </c>
      <c r="S33" s="2">
        <f t="shared" si="16"/>
        <v>0</v>
      </c>
      <c r="T33" s="2">
        <f t="shared" si="16"/>
        <v>0</v>
      </c>
      <c r="U33" s="2">
        <f t="shared" si="16"/>
        <v>0</v>
      </c>
      <c r="V33" s="2">
        <f t="shared" si="16"/>
        <v>0</v>
      </c>
      <c r="W33" s="2">
        <f t="shared" si="16"/>
        <v>0</v>
      </c>
      <c r="X33" s="2">
        <f t="shared" si="16"/>
        <v>0</v>
      </c>
      <c r="Y33" s="2">
        <f t="shared" si="16"/>
        <v>0</v>
      </c>
      <c r="Z33" s="2">
        <f t="shared" si="16"/>
        <v>0</v>
      </c>
      <c r="AA33" s="2">
        <f t="shared" si="16"/>
        <v>0</v>
      </c>
      <c r="AB33" s="2">
        <f t="shared" si="16"/>
        <v>0</v>
      </c>
      <c r="AC33" s="2">
        <f t="shared" si="16"/>
        <v>0</v>
      </c>
      <c r="AD33" s="2">
        <f t="shared" si="16"/>
        <v>0</v>
      </c>
      <c r="AE33" s="2">
        <f t="shared" si="16"/>
        <v>0</v>
      </c>
      <c r="AF33" s="2">
        <f t="shared" si="16"/>
        <v>0</v>
      </c>
      <c r="AG33" s="2">
        <f t="shared" si="16"/>
        <v>-9.9999999999988987E-4</v>
      </c>
      <c r="AH33" s="2">
        <f t="shared" si="16"/>
        <v>0</v>
      </c>
      <c r="AI33" s="2">
        <f t="shared" si="16"/>
        <v>0</v>
      </c>
      <c r="AJ33" s="2">
        <f t="shared" si="16"/>
        <v>0</v>
      </c>
      <c r="AK33" s="2">
        <f t="shared" si="16"/>
        <v>0</v>
      </c>
      <c r="AL33" s="2">
        <f t="shared" si="16"/>
        <v>0</v>
      </c>
      <c r="AM33" s="2">
        <f t="shared" si="16"/>
        <v>0</v>
      </c>
      <c r="AN33" s="2">
        <f t="shared" si="16"/>
        <v>0</v>
      </c>
      <c r="AO33" s="2">
        <f t="shared" si="16"/>
        <v>1.0000000000000009E-3</v>
      </c>
      <c r="AP33" s="2">
        <f t="shared" si="16"/>
        <v>0</v>
      </c>
      <c r="AQ33" s="2">
        <f t="shared" si="16"/>
        <v>0</v>
      </c>
      <c r="AR33" s="2">
        <f t="shared" si="16"/>
        <v>0</v>
      </c>
      <c r="AS33" s="2">
        <f t="shared" si="16"/>
        <v>0</v>
      </c>
      <c r="AT33" s="2">
        <f t="shared" si="16"/>
        <v>0</v>
      </c>
      <c r="AU33" s="2">
        <f t="shared" si="16"/>
        <v>0</v>
      </c>
      <c r="AV33" s="2">
        <f t="shared" si="16"/>
        <v>0</v>
      </c>
      <c r="AW33" s="2">
        <f t="shared" si="16"/>
        <v>0</v>
      </c>
      <c r="AX33" s="2">
        <f t="shared" si="16"/>
        <v>0</v>
      </c>
      <c r="AY33" s="2">
        <f t="shared" si="16"/>
        <v>0</v>
      </c>
      <c r="AZ33" s="2">
        <f t="shared" si="16"/>
        <v>0</v>
      </c>
      <c r="BA33" s="2">
        <f t="shared" si="16"/>
        <v>0</v>
      </c>
      <c r="BB33" s="2">
        <f t="shared" si="16"/>
        <v>0</v>
      </c>
      <c r="BC33" s="2">
        <f t="shared" si="16"/>
        <v>0</v>
      </c>
      <c r="BD33" s="2">
        <f t="shared" si="16"/>
        <v>0</v>
      </c>
      <c r="BE33" s="2">
        <f t="shared" si="16"/>
        <v>0</v>
      </c>
      <c r="BF33" s="2">
        <f t="shared" si="16"/>
        <v>0</v>
      </c>
      <c r="BG33" s="2">
        <f t="shared" si="16"/>
        <v>0</v>
      </c>
      <c r="BH33" s="2">
        <f t="shared" si="16"/>
        <v>0</v>
      </c>
      <c r="BI33" s="2">
        <f t="shared" si="16"/>
        <v>-1.0000000000000009E-3</v>
      </c>
      <c r="BJ33" s="2">
        <f t="shared" si="16"/>
        <v>0</v>
      </c>
      <c r="BK33" s="2">
        <f t="shared" si="16"/>
        <v>0</v>
      </c>
      <c r="BL33" s="2">
        <f t="shared" si="16"/>
        <v>0</v>
      </c>
      <c r="BM33" s="2">
        <f t="shared" si="16"/>
        <v>0</v>
      </c>
      <c r="BN33" s="2">
        <f t="shared" ref="BN33:BX34" si="17">BN10-BN22</f>
        <v>9.9999999999999395E-4</v>
      </c>
      <c r="BO33" s="2">
        <f t="shared" si="17"/>
        <v>0</v>
      </c>
      <c r="BP33" s="2">
        <f t="shared" si="17"/>
        <v>0</v>
      </c>
      <c r="BQ33" s="2">
        <f t="shared" si="17"/>
        <v>0</v>
      </c>
      <c r="BR33" s="2">
        <f t="shared" si="17"/>
        <v>0</v>
      </c>
      <c r="BS33" s="2">
        <f t="shared" si="17"/>
        <v>0</v>
      </c>
      <c r="BT33" s="2">
        <f t="shared" si="17"/>
        <v>0</v>
      </c>
      <c r="BU33" s="2">
        <f t="shared" si="17"/>
        <v>-1.9999999999988916E-3</v>
      </c>
      <c r="BV33" s="2">
        <f t="shared" si="17"/>
        <v>0</v>
      </c>
      <c r="BW33" s="2">
        <f t="shared" si="17"/>
        <v>0</v>
      </c>
      <c r="BX33" s="2">
        <f t="shared" si="17"/>
        <v>0</v>
      </c>
      <c r="BY33" s="2"/>
      <c r="BZ33" s="2"/>
    </row>
    <row r="34" spans="1:78" x14ac:dyDescent="0.3">
      <c r="A34" s="2"/>
      <c r="B34" s="2">
        <f t="shared" si="16"/>
        <v>0</v>
      </c>
      <c r="C34" s="2">
        <f t="shared" si="16"/>
        <v>0</v>
      </c>
      <c r="D34" s="2">
        <f t="shared" si="16"/>
        <v>1.0000000000000009E-3</v>
      </c>
      <c r="E34" s="2">
        <f t="shared" si="16"/>
        <v>0</v>
      </c>
      <c r="F34" s="2">
        <f t="shared" si="16"/>
        <v>0</v>
      </c>
      <c r="G34" s="2">
        <f t="shared" si="16"/>
        <v>0</v>
      </c>
      <c r="H34" s="2">
        <f t="shared" si="16"/>
        <v>0</v>
      </c>
      <c r="I34" s="2">
        <f t="shared" si="16"/>
        <v>0</v>
      </c>
      <c r="J34" s="2">
        <f t="shared" si="16"/>
        <v>-1E-3</v>
      </c>
      <c r="K34" s="2">
        <f t="shared" si="16"/>
        <v>-1E-3</v>
      </c>
      <c r="L34" s="2">
        <f t="shared" si="16"/>
        <v>0</v>
      </c>
      <c r="M34" s="2">
        <f t="shared" si="16"/>
        <v>-9.9999999999988987E-4</v>
      </c>
      <c r="N34" s="2">
        <f t="shared" si="16"/>
        <v>-9.9999999999988987E-4</v>
      </c>
      <c r="O34" s="2">
        <f t="shared" si="16"/>
        <v>0</v>
      </c>
      <c r="P34" s="2">
        <f t="shared" si="16"/>
        <v>0</v>
      </c>
      <c r="Q34" s="2">
        <f t="shared" si="16"/>
        <v>0</v>
      </c>
      <c r="R34" s="2">
        <f t="shared" si="16"/>
        <v>0</v>
      </c>
      <c r="S34" s="2">
        <f t="shared" si="16"/>
        <v>0</v>
      </c>
      <c r="T34" s="2">
        <f t="shared" si="16"/>
        <v>0</v>
      </c>
      <c r="U34" s="2">
        <f t="shared" si="16"/>
        <v>0</v>
      </c>
      <c r="V34" s="2">
        <f t="shared" si="16"/>
        <v>0</v>
      </c>
      <c r="W34" s="2">
        <f t="shared" si="16"/>
        <v>0</v>
      </c>
      <c r="X34" s="2">
        <f t="shared" si="16"/>
        <v>0</v>
      </c>
      <c r="Y34" s="2">
        <f t="shared" si="16"/>
        <v>0</v>
      </c>
      <c r="Z34" s="2">
        <f t="shared" si="16"/>
        <v>0</v>
      </c>
      <c r="AA34" s="2">
        <f t="shared" si="16"/>
        <v>0</v>
      </c>
      <c r="AB34" s="2">
        <f t="shared" si="16"/>
        <v>0</v>
      </c>
      <c r="AC34" s="2">
        <f t="shared" si="16"/>
        <v>0</v>
      </c>
      <c r="AD34" s="2">
        <f t="shared" si="16"/>
        <v>0</v>
      </c>
      <c r="AE34" s="2">
        <f t="shared" si="16"/>
        <v>0</v>
      </c>
      <c r="AF34" s="2">
        <f t="shared" si="16"/>
        <v>0</v>
      </c>
      <c r="AG34" s="2">
        <f t="shared" si="16"/>
        <v>0</v>
      </c>
      <c r="AH34" s="2">
        <f t="shared" si="16"/>
        <v>0</v>
      </c>
      <c r="AI34" s="2">
        <f t="shared" si="16"/>
        <v>0</v>
      </c>
      <c r="AJ34" s="2">
        <f t="shared" si="16"/>
        <v>0</v>
      </c>
      <c r="AK34" s="2">
        <f t="shared" si="16"/>
        <v>0</v>
      </c>
      <c r="AL34" s="2">
        <f t="shared" si="16"/>
        <v>0</v>
      </c>
      <c r="AM34" s="2">
        <f t="shared" si="16"/>
        <v>0</v>
      </c>
      <c r="AN34" s="2">
        <f t="shared" si="16"/>
        <v>0</v>
      </c>
      <c r="AO34" s="2">
        <f t="shared" si="16"/>
        <v>0</v>
      </c>
      <c r="AP34" s="2">
        <f t="shared" si="16"/>
        <v>0</v>
      </c>
      <c r="AQ34" s="2">
        <f t="shared" si="16"/>
        <v>0</v>
      </c>
      <c r="AR34" s="2">
        <f t="shared" si="16"/>
        <v>0</v>
      </c>
      <c r="AS34" s="2">
        <f t="shared" si="16"/>
        <v>0</v>
      </c>
      <c r="AT34" s="2">
        <f t="shared" si="16"/>
        <v>0</v>
      </c>
      <c r="AU34" s="2">
        <f t="shared" si="16"/>
        <v>0</v>
      </c>
      <c r="AV34" s="2">
        <f t="shared" si="16"/>
        <v>0</v>
      </c>
      <c r="AW34" s="2">
        <f t="shared" si="16"/>
        <v>0</v>
      </c>
      <c r="AX34" s="2">
        <f t="shared" si="16"/>
        <v>0</v>
      </c>
      <c r="AY34" s="2">
        <f t="shared" si="16"/>
        <v>0</v>
      </c>
      <c r="AZ34" s="2">
        <f t="shared" si="16"/>
        <v>0</v>
      </c>
      <c r="BA34" s="2">
        <f t="shared" si="16"/>
        <v>0</v>
      </c>
      <c r="BB34" s="2">
        <f t="shared" si="16"/>
        <v>0</v>
      </c>
      <c r="BC34" s="2">
        <f t="shared" si="16"/>
        <v>0</v>
      </c>
      <c r="BD34" s="2">
        <f t="shared" si="16"/>
        <v>0</v>
      </c>
      <c r="BE34" s="2">
        <f t="shared" si="16"/>
        <v>0</v>
      </c>
      <c r="BF34" s="2">
        <f t="shared" si="16"/>
        <v>0</v>
      </c>
      <c r="BG34" s="2">
        <f t="shared" si="16"/>
        <v>0</v>
      </c>
      <c r="BH34" s="2">
        <f t="shared" si="16"/>
        <v>1.0000000000000009E-3</v>
      </c>
      <c r="BI34" s="2">
        <f t="shared" si="16"/>
        <v>0</v>
      </c>
      <c r="BJ34" s="2">
        <f t="shared" si="16"/>
        <v>0</v>
      </c>
      <c r="BK34" s="2">
        <f t="shared" si="16"/>
        <v>0</v>
      </c>
      <c r="BL34" s="2">
        <f t="shared" si="16"/>
        <v>0</v>
      </c>
      <c r="BM34" s="2">
        <f t="shared" si="16"/>
        <v>-1E-3</v>
      </c>
      <c r="BN34" s="2">
        <f t="shared" si="17"/>
        <v>-1.0000000000000009E-3</v>
      </c>
      <c r="BO34" s="2">
        <f t="shared" si="17"/>
        <v>-1E-3</v>
      </c>
      <c r="BP34" s="2">
        <f t="shared" si="17"/>
        <v>0</v>
      </c>
      <c r="BQ34" s="2">
        <f t="shared" si="17"/>
        <v>0</v>
      </c>
      <c r="BR34" s="2">
        <f t="shared" si="17"/>
        <v>0</v>
      </c>
      <c r="BS34" s="2">
        <f t="shared" si="17"/>
        <v>0</v>
      </c>
      <c r="BT34" s="2">
        <f t="shared" si="17"/>
        <v>0</v>
      </c>
      <c r="BU34" s="2">
        <f t="shared" si="17"/>
        <v>1.9999999999988916E-3</v>
      </c>
      <c r="BV34" s="2">
        <f t="shared" si="17"/>
        <v>0</v>
      </c>
      <c r="BW34" s="2">
        <f t="shared" si="17"/>
        <v>0</v>
      </c>
      <c r="BX34" s="2">
        <f t="shared" si="17"/>
        <v>0</v>
      </c>
      <c r="BY34" s="2"/>
      <c r="BZ34" s="2"/>
    </row>
    <row r="35" spans="1:7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3">
      <c r="A36" s="1" t="s">
        <v>85</v>
      </c>
      <c r="B36" s="2">
        <f>AVERAGE(B25:B34)</f>
        <v>-2.0000000000000017E-4</v>
      </c>
      <c r="C36" s="2">
        <f>AVERAGE(C25:C34)</f>
        <v>-2.0000000000000017E-4</v>
      </c>
      <c r="D36" s="2">
        <f>AVERAGE(D25:D34)</f>
        <v>-1.0000000000000009E-4</v>
      </c>
      <c r="E36" s="2">
        <f>AVERAGE(E25:E34)</f>
        <v>9.9999999999999747E-5</v>
      </c>
      <c r="F36" s="2">
        <f t="shared" ref="F36:BQ36" si="18">AVERAGE(F25:F34)</f>
        <v>0</v>
      </c>
      <c r="G36" s="2">
        <f t="shared" si="18"/>
        <v>0</v>
      </c>
      <c r="H36" s="2">
        <f t="shared" si="18"/>
        <v>0</v>
      </c>
      <c r="I36" s="2">
        <f t="shared" si="18"/>
        <v>-1E-4</v>
      </c>
      <c r="J36" s="2">
        <f t="shared" si="18"/>
        <v>-2.0000000000000001E-4</v>
      </c>
      <c r="K36" s="2">
        <f t="shared" si="18"/>
        <v>-3.0000000000000003E-4</v>
      </c>
      <c r="L36" s="2">
        <f t="shared" si="18"/>
        <v>9.9999999999988987E-5</v>
      </c>
      <c r="M36" s="2">
        <f t="shared" si="18"/>
        <v>2.2204460492503132E-17</v>
      </c>
      <c r="N36" s="2">
        <f t="shared" si="18"/>
        <v>0</v>
      </c>
      <c r="O36" s="2">
        <f t="shared" si="18"/>
        <v>0</v>
      </c>
      <c r="P36" s="2">
        <f t="shared" si="18"/>
        <v>0</v>
      </c>
      <c r="Q36" s="2">
        <f t="shared" si="18"/>
        <v>0</v>
      </c>
      <c r="R36" s="2">
        <f t="shared" si="18"/>
        <v>-2.0000000000000017E-4</v>
      </c>
      <c r="S36" s="2">
        <f t="shared" si="18"/>
        <v>0</v>
      </c>
      <c r="T36" s="2">
        <f t="shared" si="18"/>
        <v>0</v>
      </c>
      <c r="U36" s="2">
        <f t="shared" si="18"/>
        <v>0</v>
      </c>
      <c r="V36" s="2">
        <f t="shared" si="18"/>
        <v>0</v>
      </c>
      <c r="W36" s="2">
        <f t="shared" si="18"/>
        <v>0</v>
      </c>
      <c r="X36" s="2">
        <f t="shared" si="18"/>
        <v>-9.9999999999999747E-5</v>
      </c>
      <c r="Y36" s="2">
        <f t="shared" si="18"/>
        <v>0</v>
      </c>
      <c r="Z36" s="2">
        <f t="shared" si="18"/>
        <v>0</v>
      </c>
      <c r="AA36" s="2">
        <f t="shared" si="18"/>
        <v>1.0000000000000009E-4</v>
      </c>
      <c r="AB36" s="2">
        <f t="shared" si="18"/>
        <v>0</v>
      </c>
      <c r="AC36" s="2">
        <f t="shared" si="18"/>
        <v>0</v>
      </c>
      <c r="AD36" s="2">
        <f t="shared" si="18"/>
        <v>0</v>
      </c>
      <c r="AE36" s="2">
        <f t="shared" si="18"/>
        <v>0</v>
      </c>
      <c r="AF36" s="2">
        <f t="shared" si="18"/>
        <v>0</v>
      </c>
      <c r="AG36" s="2">
        <f t="shared" si="18"/>
        <v>2.2204460492503132E-17</v>
      </c>
      <c r="AH36" s="2">
        <f t="shared" si="18"/>
        <v>1.0000000000000009E-4</v>
      </c>
      <c r="AI36" s="2">
        <f t="shared" si="18"/>
        <v>0</v>
      </c>
      <c r="AJ36" s="2">
        <f t="shared" si="18"/>
        <v>0</v>
      </c>
      <c r="AK36" s="2">
        <f t="shared" si="18"/>
        <v>0</v>
      </c>
      <c r="AL36" s="2">
        <f t="shared" si="18"/>
        <v>0</v>
      </c>
      <c r="AM36" s="2">
        <f t="shared" si="18"/>
        <v>0</v>
      </c>
      <c r="AN36" s="2">
        <f t="shared" si="18"/>
        <v>0</v>
      </c>
      <c r="AO36" s="2">
        <f t="shared" si="18"/>
        <v>2.0000000000000009E-4</v>
      </c>
      <c r="AP36" s="2">
        <f t="shared" si="18"/>
        <v>0</v>
      </c>
      <c r="AQ36" s="2">
        <f t="shared" si="18"/>
        <v>0</v>
      </c>
      <c r="AR36" s="2">
        <f t="shared" si="18"/>
        <v>0</v>
      </c>
      <c r="AS36" s="2">
        <f t="shared" si="18"/>
        <v>0</v>
      </c>
      <c r="AT36" s="2">
        <f t="shared" si="18"/>
        <v>0</v>
      </c>
      <c r="AU36" s="2">
        <f t="shared" si="18"/>
        <v>0</v>
      </c>
      <c r="AV36" s="2">
        <f t="shared" si="18"/>
        <v>0</v>
      </c>
      <c r="AW36" s="2">
        <f t="shared" si="18"/>
        <v>0</v>
      </c>
      <c r="AX36" s="2">
        <f t="shared" si="18"/>
        <v>0</v>
      </c>
      <c r="AY36" s="2">
        <f t="shared" si="18"/>
        <v>0</v>
      </c>
      <c r="AZ36" s="2">
        <f t="shared" si="18"/>
        <v>0</v>
      </c>
      <c r="BA36" s="2">
        <f t="shared" si="18"/>
        <v>-8.673617379884036E-20</v>
      </c>
      <c r="BB36" s="2">
        <f t="shared" si="18"/>
        <v>1E-4</v>
      </c>
      <c r="BC36" s="2">
        <f t="shared" si="18"/>
        <v>9.999999999999991E-5</v>
      </c>
      <c r="BD36" s="2">
        <f t="shared" si="18"/>
        <v>0</v>
      </c>
      <c r="BE36" s="2">
        <f t="shared" si="18"/>
        <v>0</v>
      </c>
      <c r="BF36" s="2">
        <f t="shared" si="18"/>
        <v>0</v>
      </c>
      <c r="BG36" s="2">
        <f t="shared" si="18"/>
        <v>1E-4</v>
      </c>
      <c r="BH36" s="2">
        <f t="shared" si="18"/>
        <v>3.0000000000000024E-4</v>
      </c>
      <c r="BI36" s="2">
        <f t="shared" si="18"/>
        <v>-1.0000000000000009E-4</v>
      </c>
      <c r="BJ36" s="2">
        <f t="shared" si="18"/>
        <v>-1.0000000000000009E-4</v>
      </c>
      <c r="BK36" s="2">
        <f t="shared" si="18"/>
        <v>1.7347234759768072E-19</v>
      </c>
      <c r="BL36" s="2">
        <f t="shared" si="18"/>
        <v>0</v>
      </c>
      <c r="BM36" s="2">
        <f t="shared" si="18"/>
        <v>2.0000000000000017E-4</v>
      </c>
      <c r="BN36" s="2">
        <f t="shared" si="18"/>
        <v>-6.9388939039072288E-19</v>
      </c>
      <c r="BO36" s="2">
        <f t="shared" si="18"/>
        <v>-3.0000000000000019E-4</v>
      </c>
      <c r="BP36" s="2">
        <f t="shared" si="18"/>
        <v>0</v>
      </c>
      <c r="BQ36" s="2">
        <f t="shared" si="18"/>
        <v>0</v>
      </c>
      <c r="BR36" s="2">
        <f t="shared" ref="BR36:BX36" si="19">AVERAGE(BR25:BR34)</f>
        <v>0</v>
      </c>
      <c r="BS36" s="2">
        <f t="shared" si="19"/>
        <v>0</v>
      </c>
      <c r="BT36" s="2">
        <f t="shared" si="19"/>
        <v>-2.0000000000000017E-4</v>
      </c>
      <c r="BU36" s="2">
        <f t="shared" si="19"/>
        <v>3.0000000000001136E-4</v>
      </c>
      <c r="BV36" s="2">
        <f t="shared" si="19"/>
        <v>0</v>
      </c>
      <c r="BW36" s="2">
        <f t="shared" si="19"/>
        <v>0</v>
      </c>
      <c r="BX36" s="2">
        <f t="shared" si="19"/>
        <v>0</v>
      </c>
      <c r="BY36" s="2"/>
      <c r="BZ36" s="2"/>
    </row>
    <row r="37" spans="1:7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3">
      <c r="A38" s="1" t="s">
        <v>88</v>
      </c>
      <c r="B38" s="2">
        <f>(B25/B2)*100</f>
        <v>0.10101010101010109</v>
      </c>
      <c r="C38" s="2">
        <f t="shared" ref="C38:BN38" si="20">(C25/C2)*100</f>
        <v>-3.3333333333333366</v>
      </c>
      <c r="D38" s="2">
        <f t="shared" si="20"/>
        <v>0.38461538461538491</v>
      </c>
      <c r="E38" s="2">
        <f t="shared" si="20"/>
        <v>0</v>
      </c>
      <c r="F38" s="2" t="e">
        <f t="shared" si="20"/>
        <v>#DIV/0!</v>
      </c>
      <c r="G38" s="2" t="e">
        <f t="shared" si="20"/>
        <v>#DIV/0!</v>
      </c>
      <c r="H38" s="2" t="e">
        <f t="shared" si="20"/>
        <v>#DIV/0!</v>
      </c>
      <c r="I38" s="2" t="e">
        <f t="shared" si="20"/>
        <v>#DIV/0!</v>
      </c>
      <c r="J38" s="2" t="e">
        <f t="shared" si="20"/>
        <v>#DIV/0!</v>
      </c>
      <c r="K38" s="2" t="e">
        <f t="shared" si="20"/>
        <v>#DIV/0!</v>
      </c>
      <c r="L38" s="2">
        <f t="shared" si="20"/>
        <v>5.3248136315223106E-2</v>
      </c>
      <c r="M38" s="2">
        <f t="shared" si="20"/>
        <v>-6.6357000663577428E-2</v>
      </c>
      <c r="N38" s="2">
        <f t="shared" si="20"/>
        <v>0</v>
      </c>
      <c r="O38" s="2">
        <f t="shared" si="20"/>
        <v>0</v>
      </c>
      <c r="P38" s="2">
        <f t="shared" si="20"/>
        <v>0</v>
      </c>
      <c r="Q38" s="2">
        <f t="shared" si="20"/>
        <v>0</v>
      </c>
      <c r="R38" s="2">
        <f t="shared" si="20"/>
        <v>0</v>
      </c>
      <c r="S38" s="2">
        <f t="shared" si="20"/>
        <v>0</v>
      </c>
      <c r="T38" s="2">
        <f t="shared" si="20"/>
        <v>0</v>
      </c>
      <c r="U38" s="2">
        <f t="shared" si="20"/>
        <v>0</v>
      </c>
      <c r="V38" s="2">
        <f t="shared" si="20"/>
        <v>0</v>
      </c>
      <c r="W38" s="2">
        <f t="shared" si="20"/>
        <v>0</v>
      </c>
      <c r="X38" s="2">
        <f t="shared" si="20"/>
        <v>3.8461538461538365</v>
      </c>
      <c r="Y38" s="2">
        <f t="shared" si="20"/>
        <v>0</v>
      </c>
      <c r="Z38" s="2">
        <f t="shared" si="20"/>
        <v>0</v>
      </c>
      <c r="AA38" s="2">
        <f t="shared" si="20"/>
        <v>0</v>
      </c>
      <c r="AB38" s="2">
        <f t="shared" si="20"/>
        <v>0</v>
      </c>
      <c r="AC38" s="2">
        <f t="shared" si="20"/>
        <v>0</v>
      </c>
      <c r="AD38" s="2">
        <f t="shared" si="20"/>
        <v>0</v>
      </c>
      <c r="AE38" s="2">
        <f t="shared" si="20"/>
        <v>0</v>
      </c>
      <c r="AF38" s="2">
        <f t="shared" si="20"/>
        <v>0</v>
      </c>
      <c r="AG38" s="2">
        <f t="shared" si="20"/>
        <v>0</v>
      </c>
      <c r="AH38" s="2">
        <f t="shared" si="20"/>
        <v>0</v>
      </c>
      <c r="AI38" s="2">
        <f t="shared" si="20"/>
        <v>0</v>
      </c>
      <c r="AJ38" s="2">
        <f t="shared" si="20"/>
        <v>0</v>
      </c>
      <c r="AK38" s="2">
        <f t="shared" si="20"/>
        <v>0</v>
      </c>
      <c r="AL38" s="2">
        <f t="shared" si="20"/>
        <v>0</v>
      </c>
      <c r="AM38" s="2">
        <f t="shared" si="20"/>
        <v>0</v>
      </c>
      <c r="AN38" s="2">
        <f t="shared" si="20"/>
        <v>0</v>
      </c>
      <c r="AO38" s="2">
        <f t="shared" si="20"/>
        <v>0</v>
      </c>
      <c r="AP38" s="2">
        <f t="shared" si="20"/>
        <v>0</v>
      </c>
      <c r="AQ38" s="2">
        <f t="shared" si="20"/>
        <v>0</v>
      </c>
      <c r="AR38" s="2">
        <f t="shared" si="20"/>
        <v>0</v>
      </c>
      <c r="AS38" s="2">
        <f t="shared" si="20"/>
        <v>0</v>
      </c>
      <c r="AT38" s="2">
        <f t="shared" si="20"/>
        <v>0</v>
      </c>
      <c r="AU38" s="2" t="e">
        <f t="shared" si="20"/>
        <v>#DIV/0!</v>
      </c>
      <c r="AV38" s="2" t="e">
        <f t="shared" si="20"/>
        <v>#DIV/0!</v>
      </c>
      <c r="AW38" s="2" t="e">
        <f t="shared" si="20"/>
        <v>#DIV/0!</v>
      </c>
      <c r="AX38" s="2" t="e">
        <f t="shared" si="20"/>
        <v>#DIV/0!</v>
      </c>
      <c r="AY38" s="2" t="e">
        <f t="shared" si="20"/>
        <v>#DIV/0!</v>
      </c>
      <c r="AZ38" s="2" t="e">
        <f t="shared" si="20"/>
        <v>#DIV/0!</v>
      </c>
      <c r="BA38" s="2">
        <f t="shared" si="20"/>
        <v>0</v>
      </c>
      <c r="BB38" s="2">
        <f t="shared" si="20"/>
        <v>0</v>
      </c>
      <c r="BC38" s="2">
        <f t="shared" si="20"/>
        <v>0</v>
      </c>
      <c r="BD38" s="2">
        <f t="shared" si="20"/>
        <v>0</v>
      </c>
      <c r="BE38" s="2">
        <f t="shared" si="20"/>
        <v>0</v>
      </c>
      <c r="BF38" s="2">
        <f t="shared" si="20"/>
        <v>0</v>
      </c>
      <c r="BG38" s="2">
        <f t="shared" si="20"/>
        <v>-14.285714285714285</v>
      </c>
      <c r="BH38" s="2">
        <f t="shared" si="20"/>
        <v>7.1428571428571495</v>
      </c>
      <c r="BI38" s="2">
        <f t="shared" si="20"/>
        <v>0</v>
      </c>
      <c r="BJ38" s="2">
        <f t="shared" si="20"/>
        <v>0</v>
      </c>
      <c r="BK38" s="2">
        <f t="shared" si="20"/>
        <v>8.333333333333341</v>
      </c>
      <c r="BL38" s="2">
        <f t="shared" si="20"/>
        <v>0</v>
      </c>
      <c r="BM38" s="2">
        <f t="shared" si="20"/>
        <v>-5.0000000000000044</v>
      </c>
      <c r="BN38" s="2">
        <f t="shared" si="20"/>
        <v>0</v>
      </c>
      <c r="BO38" s="2">
        <f t="shared" ref="BO38:BX38" si="21">(BO25/BO2)*100</f>
        <v>0</v>
      </c>
      <c r="BP38" s="2">
        <f t="shared" si="21"/>
        <v>0</v>
      </c>
      <c r="BQ38" s="2">
        <f t="shared" si="21"/>
        <v>0</v>
      </c>
      <c r="BR38" s="2">
        <f t="shared" si="21"/>
        <v>0</v>
      </c>
      <c r="BS38" s="2">
        <f t="shared" si="21"/>
        <v>-0.11135857461024509</v>
      </c>
      <c r="BT38" s="2">
        <f t="shared" si="21"/>
        <v>-2.7027027027027053</v>
      </c>
      <c r="BU38" s="2">
        <f t="shared" si="21"/>
        <v>-1.1284134506877068E-2</v>
      </c>
      <c r="BV38" s="2">
        <f t="shared" si="21"/>
        <v>0</v>
      </c>
      <c r="BW38" s="2">
        <f t="shared" si="21"/>
        <v>0</v>
      </c>
      <c r="BX38" s="2">
        <f t="shared" si="21"/>
        <v>0</v>
      </c>
      <c r="BY38" s="2"/>
      <c r="BZ38" s="2"/>
    </row>
    <row r="39" spans="1:78" x14ac:dyDescent="0.3">
      <c r="A39" s="2"/>
      <c r="B39" s="2">
        <f t="shared" ref="B39:BM39" si="22">(B26/B3)*100</f>
        <v>-0.10121457489878552</v>
      </c>
      <c r="C39" s="2">
        <f t="shared" si="22"/>
        <v>0</v>
      </c>
      <c r="D39" s="2">
        <f t="shared" si="22"/>
        <v>0</v>
      </c>
      <c r="E39" s="2">
        <f t="shared" si="22"/>
        <v>0</v>
      </c>
      <c r="F39" s="2" t="e">
        <f t="shared" si="22"/>
        <v>#DIV/0!</v>
      </c>
      <c r="G39" s="2" t="e">
        <f t="shared" si="22"/>
        <v>#DIV/0!</v>
      </c>
      <c r="H39" s="2" t="e">
        <f t="shared" si="22"/>
        <v>#DIV/0!</v>
      </c>
      <c r="I39" s="2">
        <f t="shared" si="22"/>
        <v>0</v>
      </c>
      <c r="J39" s="2" t="e">
        <f t="shared" si="22"/>
        <v>#DIV/0!</v>
      </c>
      <c r="K39" s="2" t="e">
        <f t="shared" si="22"/>
        <v>#DIV/0!</v>
      </c>
      <c r="L39" s="2">
        <f t="shared" si="22"/>
        <v>0</v>
      </c>
      <c r="M39" s="2">
        <f t="shared" si="22"/>
        <v>0</v>
      </c>
      <c r="N39" s="2">
        <f t="shared" si="22"/>
        <v>0</v>
      </c>
      <c r="O39" s="2">
        <f t="shared" si="22"/>
        <v>0</v>
      </c>
      <c r="P39" s="2">
        <f t="shared" si="22"/>
        <v>0</v>
      </c>
      <c r="Q39" s="2">
        <f t="shared" si="22"/>
        <v>0</v>
      </c>
      <c r="R39" s="2">
        <f t="shared" si="22"/>
        <v>0</v>
      </c>
      <c r="S39" s="2">
        <f t="shared" si="22"/>
        <v>0</v>
      </c>
      <c r="T39" s="2">
        <f t="shared" si="22"/>
        <v>0</v>
      </c>
      <c r="U39" s="2">
        <f t="shared" si="22"/>
        <v>0</v>
      </c>
      <c r="V39" s="2">
        <f t="shared" si="22"/>
        <v>0</v>
      </c>
      <c r="W39" s="2">
        <f t="shared" si="22"/>
        <v>0</v>
      </c>
      <c r="X39" s="2">
        <f t="shared" si="22"/>
        <v>0</v>
      </c>
      <c r="Y39" s="2">
        <f t="shared" si="22"/>
        <v>0</v>
      </c>
      <c r="Z39" s="2">
        <f t="shared" si="22"/>
        <v>0</v>
      </c>
      <c r="AA39" s="2">
        <f t="shared" si="22"/>
        <v>0</v>
      </c>
      <c r="AB39" s="2">
        <f t="shared" si="22"/>
        <v>0</v>
      </c>
      <c r="AC39" s="2">
        <f t="shared" si="22"/>
        <v>0</v>
      </c>
      <c r="AD39" s="2">
        <f t="shared" si="22"/>
        <v>0</v>
      </c>
      <c r="AE39" s="2">
        <f t="shared" si="22"/>
        <v>0</v>
      </c>
      <c r="AF39" s="2">
        <f t="shared" si="22"/>
        <v>0</v>
      </c>
      <c r="AG39" s="2">
        <f t="shared" si="22"/>
        <v>7.8492935635801564E-2</v>
      </c>
      <c r="AH39" s="2">
        <f t="shared" si="22"/>
        <v>0</v>
      </c>
      <c r="AI39" s="2">
        <f t="shared" si="22"/>
        <v>0</v>
      </c>
      <c r="AJ39" s="2">
        <f t="shared" si="22"/>
        <v>0</v>
      </c>
      <c r="AK39" s="2">
        <f t="shared" si="22"/>
        <v>0</v>
      </c>
      <c r="AL39" s="2">
        <f t="shared" si="22"/>
        <v>0</v>
      </c>
      <c r="AM39" s="2">
        <f t="shared" si="22"/>
        <v>0</v>
      </c>
      <c r="AN39" s="2">
        <f t="shared" si="22"/>
        <v>0</v>
      </c>
      <c r="AO39" s="2">
        <f t="shared" si="22"/>
        <v>0</v>
      </c>
      <c r="AP39" s="2">
        <f t="shared" si="22"/>
        <v>0</v>
      </c>
      <c r="AQ39" s="2">
        <f t="shared" si="22"/>
        <v>0</v>
      </c>
      <c r="AR39" s="2">
        <f t="shared" si="22"/>
        <v>0</v>
      </c>
      <c r="AS39" s="2">
        <f t="shared" si="22"/>
        <v>0</v>
      </c>
      <c r="AT39" s="2">
        <f t="shared" si="22"/>
        <v>0</v>
      </c>
      <c r="AU39" s="2" t="e">
        <f t="shared" si="22"/>
        <v>#DIV/0!</v>
      </c>
      <c r="AV39" s="2">
        <f t="shared" si="22"/>
        <v>0</v>
      </c>
      <c r="AW39" s="2" t="e">
        <f t="shared" si="22"/>
        <v>#DIV/0!</v>
      </c>
      <c r="AX39" s="2">
        <f t="shared" si="22"/>
        <v>0</v>
      </c>
      <c r="AY39" s="2">
        <f t="shared" si="22"/>
        <v>0</v>
      </c>
      <c r="AZ39" s="2">
        <f t="shared" si="22"/>
        <v>0</v>
      </c>
      <c r="BA39" s="2">
        <f t="shared" si="22"/>
        <v>7.6923076923076854</v>
      </c>
      <c r="BB39" s="2">
        <f t="shared" si="22"/>
        <v>0</v>
      </c>
      <c r="BC39" s="2">
        <f t="shared" si="22"/>
        <v>9.0909090909090846</v>
      </c>
      <c r="BD39" s="2">
        <f t="shared" si="22"/>
        <v>0</v>
      </c>
      <c r="BE39" s="2">
        <f t="shared" si="22"/>
        <v>0</v>
      </c>
      <c r="BF39" s="2">
        <f t="shared" si="22"/>
        <v>0</v>
      </c>
      <c r="BG39" s="2">
        <f t="shared" si="22"/>
        <v>0</v>
      </c>
      <c r="BH39" s="2">
        <f t="shared" si="22"/>
        <v>0</v>
      </c>
      <c r="BI39" s="2">
        <f t="shared" si="22"/>
        <v>0</v>
      </c>
      <c r="BJ39" s="2">
        <f t="shared" si="22"/>
        <v>0</v>
      </c>
      <c r="BK39" s="2">
        <f t="shared" si="22"/>
        <v>0</v>
      </c>
      <c r="BL39" s="2">
        <f t="shared" si="22"/>
        <v>0</v>
      </c>
      <c r="BM39" s="2">
        <f t="shared" si="22"/>
        <v>0</v>
      </c>
      <c r="BN39" s="2">
        <f t="shared" ref="BN39:BX39" si="23">(BN26/BN3)*100</f>
        <v>0</v>
      </c>
      <c r="BO39" s="2">
        <f t="shared" si="23"/>
        <v>7.6923076923076854</v>
      </c>
      <c r="BP39" s="2">
        <f t="shared" si="23"/>
        <v>0</v>
      </c>
      <c r="BQ39" s="2">
        <f t="shared" si="23"/>
        <v>0</v>
      </c>
      <c r="BR39" s="2">
        <f t="shared" si="23"/>
        <v>0</v>
      </c>
      <c r="BS39" s="2">
        <f t="shared" si="23"/>
        <v>0.11560693641618507</v>
      </c>
      <c r="BT39" s="2">
        <f t="shared" si="23"/>
        <v>0</v>
      </c>
      <c r="BU39" s="2">
        <f t="shared" si="23"/>
        <v>2.2439133849440903E-2</v>
      </c>
      <c r="BV39" s="2">
        <f t="shared" si="23"/>
        <v>0</v>
      </c>
      <c r="BW39" s="2">
        <f t="shared" si="23"/>
        <v>0</v>
      </c>
      <c r="BX39" s="2">
        <f t="shared" si="23"/>
        <v>0</v>
      </c>
      <c r="BY39" s="2"/>
      <c r="BZ39" s="2"/>
    </row>
    <row r="40" spans="1:78" x14ac:dyDescent="0.3">
      <c r="A40" s="2"/>
      <c r="B40" s="2">
        <f t="shared" ref="B40:BM40" si="24">(B27/B4)*100</f>
        <v>-0.10101010101010109</v>
      </c>
      <c r="C40" s="2">
        <f t="shared" si="24"/>
        <v>0</v>
      </c>
      <c r="D40" s="2">
        <f t="shared" si="24"/>
        <v>0</v>
      </c>
      <c r="E40" s="2">
        <f t="shared" si="24"/>
        <v>0</v>
      </c>
      <c r="F40" s="2" t="e">
        <f t="shared" si="24"/>
        <v>#DIV/0!</v>
      </c>
      <c r="G40" s="2" t="e">
        <f t="shared" si="24"/>
        <v>#DIV/0!</v>
      </c>
      <c r="H40" s="2" t="e">
        <f t="shared" si="24"/>
        <v>#DIV/0!</v>
      </c>
      <c r="I40" s="2" t="e">
        <f t="shared" si="24"/>
        <v>#DIV/0!</v>
      </c>
      <c r="J40" s="2">
        <f t="shared" si="24"/>
        <v>0</v>
      </c>
      <c r="K40" s="2" t="e">
        <f t="shared" si="24"/>
        <v>#DIV/0!</v>
      </c>
      <c r="L40" s="2">
        <f t="shared" si="24"/>
        <v>-5.2798310454071386E-2</v>
      </c>
      <c r="M40" s="2">
        <f t="shared" si="24"/>
        <v>6.4516129032265279E-2</v>
      </c>
      <c r="N40" s="2">
        <f t="shared" si="24"/>
        <v>0</v>
      </c>
      <c r="O40" s="2">
        <f t="shared" si="24"/>
        <v>0</v>
      </c>
      <c r="P40" s="2">
        <f t="shared" si="24"/>
        <v>0</v>
      </c>
      <c r="Q40" s="2">
        <f t="shared" si="24"/>
        <v>0</v>
      </c>
      <c r="R40" s="2">
        <f t="shared" si="24"/>
        <v>0</v>
      </c>
      <c r="S40" s="2">
        <f t="shared" si="24"/>
        <v>0</v>
      </c>
      <c r="T40" s="2">
        <f t="shared" si="24"/>
        <v>0</v>
      </c>
      <c r="U40" s="2">
        <f t="shared" si="24"/>
        <v>0</v>
      </c>
      <c r="V40" s="2">
        <f t="shared" si="24"/>
        <v>0</v>
      </c>
      <c r="W40" s="2">
        <f t="shared" si="24"/>
        <v>0</v>
      </c>
      <c r="X40" s="2">
        <f t="shared" si="24"/>
        <v>0</v>
      </c>
      <c r="Y40" s="2">
        <f t="shared" si="24"/>
        <v>0</v>
      </c>
      <c r="Z40" s="2">
        <f t="shared" si="24"/>
        <v>0</v>
      </c>
      <c r="AA40" s="2">
        <f t="shared" si="24"/>
        <v>0</v>
      </c>
      <c r="AB40" s="2">
        <f t="shared" si="24"/>
        <v>0</v>
      </c>
      <c r="AC40" s="2">
        <f t="shared" si="24"/>
        <v>0</v>
      </c>
      <c r="AD40" s="2">
        <f t="shared" si="24"/>
        <v>0</v>
      </c>
      <c r="AE40" s="2">
        <f t="shared" si="24"/>
        <v>0</v>
      </c>
      <c r="AF40" s="2">
        <f t="shared" si="24"/>
        <v>0</v>
      </c>
      <c r="AG40" s="2">
        <f t="shared" si="24"/>
        <v>0</v>
      </c>
      <c r="AH40" s="2">
        <f t="shared" si="24"/>
        <v>0.83333333333333415</v>
      </c>
      <c r="AI40" s="2">
        <f t="shared" si="24"/>
        <v>0</v>
      </c>
      <c r="AJ40" s="2">
        <f t="shared" si="24"/>
        <v>0</v>
      </c>
      <c r="AK40" s="2">
        <f t="shared" si="24"/>
        <v>0</v>
      </c>
      <c r="AL40" s="2">
        <f t="shared" si="24"/>
        <v>0</v>
      </c>
      <c r="AM40" s="2">
        <f t="shared" si="24"/>
        <v>0</v>
      </c>
      <c r="AN40" s="2">
        <f t="shared" si="24"/>
        <v>0</v>
      </c>
      <c r="AO40" s="2">
        <f t="shared" si="24"/>
        <v>0</v>
      </c>
      <c r="AP40" s="2">
        <f t="shared" si="24"/>
        <v>0</v>
      </c>
      <c r="AQ40" s="2">
        <f t="shared" si="24"/>
        <v>0</v>
      </c>
      <c r="AR40" s="2">
        <f t="shared" si="24"/>
        <v>0</v>
      </c>
      <c r="AS40" s="2">
        <f t="shared" si="24"/>
        <v>0</v>
      </c>
      <c r="AT40" s="2">
        <f t="shared" si="24"/>
        <v>0</v>
      </c>
      <c r="AU40" s="2" t="e">
        <f t="shared" si="24"/>
        <v>#DIV/0!</v>
      </c>
      <c r="AV40" s="2" t="e">
        <f t="shared" si="24"/>
        <v>#DIV/0!</v>
      </c>
      <c r="AW40" s="2" t="e">
        <f t="shared" si="24"/>
        <v>#DIV/0!</v>
      </c>
      <c r="AX40" s="2">
        <f t="shared" si="24"/>
        <v>0</v>
      </c>
      <c r="AY40" s="2">
        <f t="shared" si="24"/>
        <v>0</v>
      </c>
      <c r="AZ40" s="2" t="e">
        <f t="shared" si="24"/>
        <v>#DIV/0!</v>
      </c>
      <c r="BA40" s="2">
        <f t="shared" si="24"/>
        <v>0</v>
      </c>
      <c r="BB40" s="2">
        <f t="shared" si="24"/>
        <v>0</v>
      </c>
      <c r="BC40" s="2">
        <f t="shared" si="24"/>
        <v>0</v>
      </c>
      <c r="BD40" s="2">
        <f t="shared" si="24"/>
        <v>0</v>
      </c>
      <c r="BE40" s="2">
        <f t="shared" si="24"/>
        <v>0</v>
      </c>
      <c r="BF40" s="2">
        <f t="shared" si="24"/>
        <v>0</v>
      </c>
      <c r="BG40" s="2">
        <f t="shared" si="24"/>
        <v>0</v>
      </c>
      <c r="BH40" s="2">
        <f t="shared" si="24"/>
        <v>4.7619047619047654</v>
      </c>
      <c r="BI40" s="2">
        <f t="shared" si="24"/>
        <v>0</v>
      </c>
      <c r="BJ40" s="2">
        <f t="shared" si="24"/>
        <v>0</v>
      </c>
      <c r="BK40" s="2">
        <f t="shared" si="24"/>
        <v>0</v>
      </c>
      <c r="BL40" s="2">
        <f t="shared" si="24"/>
        <v>0</v>
      </c>
      <c r="BM40" s="2">
        <f t="shared" si="24"/>
        <v>0</v>
      </c>
      <c r="BN40" s="2">
        <f t="shared" ref="BN40:BX40" si="25">(BN27/BN4)*100</f>
        <v>0</v>
      </c>
      <c r="BO40" s="2">
        <f t="shared" si="25"/>
        <v>14.285714285714285</v>
      </c>
      <c r="BP40" s="2">
        <f t="shared" si="25"/>
        <v>0</v>
      </c>
      <c r="BQ40" s="2">
        <f t="shared" si="25"/>
        <v>0</v>
      </c>
      <c r="BR40" s="2">
        <f t="shared" si="25"/>
        <v>0</v>
      </c>
      <c r="BS40" s="2">
        <f t="shared" si="25"/>
        <v>0</v>
      </c>
      <c r="BT40" s="2">
        <f t="shared" si="25"/>
        <v>0</v>
      </c>
      <c r="BU40" s="2">
        <f t="shared" si="25"/>
        <v>0</v>
      </c>
      <c r="BV40" s="2">
        <f t="shared" si="25"/>
        <v>0</v>
      </c>
      <c r="BW40" s="2">
        <f t="shared" si="25"/>
        <v>0</v>
      </c>
      <c r="BX40" s="2">
        <f t="shared" si="25"/>
        <v>0</v>
      </c>
      <c r="BY40" s="2"/>
      <c r="BZ40" s="2"/>
    </row>
    <row r="41" spans="1:78" x14ac:dyDescent="0.3">
      <c r="A41" s="2"/>
      <c r="B41" s="2">
        <f t="shared" ref="B41:BM41" si="26">(B28/B5)*100</f>
        <v>0</v>
      </c>
      <c r="C41" s="2">
        <f t="shared" si="26"/>
        <v>-1.1904761904761914</v>
      </c>
      <c r="D41" s="2">
        <f t="shared" si="26"/>
        <v>0</v>
      </c>
      <c r="E41" s="2">
        <f t="shared" si="26"/>
        <v>0</v>
      </c>
      <c r="F41" s="2" t="e">
        <f t="shared" si="26"/>
        <v>#DIV/0!</v>
      </c>
      <c r="G41" s="2" t="e">
        <f t="shared" si="26"/>
        <v>#DIV/0!</v>
      </c>
      <c r="H41" s="2" t="e">
        <f t="shared" si="26"/>
        <v>#DIV/0!</v>
      </c>
      <c r="I41" s="2">
        <f t="shared" si="26"/>
        <v>0</v>
      </c>
      <c r="J41" s="2" t="e">
        <f t="shared" si="26"/>
        <v>#DIV/0!</v>
      </c>
      <c r="K41" s="2" t="e">
        <f t="shared" si="26"/>
        <v>#DIV/0!</v>
      </c>
      <c r="L41" s="2">
        <f t="shared" si="26"/>
        <v>0</v>
      </c>
      <c r="M41" s="2">
        <f t="shared" si="26"/>
        <v>0</v>
      </c>
      <c r="N41" s="2">
        <f t="shared" si="26"/>
        <v>0</v>
      </c>
      <c r="O41" s="2">
        <f t="shared" si="26"/>
        <v>0</v>
      </c>
      <c r="P41" s="2">
        <f t="shared" si="26"/>
        <v>0</v>
      </c>
      <c r="Q41" s="2">
        <f t="shared" si="26"/>
        <v>0</v>
      </c>
      <c r="R41" s="2">
        <f t="shared" si="26"/>
        <v>0</v>
      </c>
      <c r="S41" s="2">
        <f t="shared" si="26"/>
        <v>0</v>
      </c>
      <c r="T41" s="2">
        <f t="shared" si="26"/>
        <v>0</v>
      </c>
      <c r="U41" s="2">
        <f t="shared" si="26"/>
        <v>0</v>
      </c>
      <c r="V41" s="2">
        <f t="shared" si="26"/>
        <v>0</v>
      </c>
      <c r="W41" s="2">
        <f t="shared" si="26"/>
        <v>0</v>
      </c>
      <c r="X41" s="2">
        <f t="shared" si="26"/>
        <v>0</v>
      </c>
      <c r="Y41" s="2">
        <f t="shared" si="26"/>
        <v>0</v>
      </c>
      <c r="Z41" s="2">
        <f t="shared" si="26"/>
        <v>0</v>
      </c>
      <c r="AA41" s="2">
        <f t="shared" si="26"/>
        <v>0</v>
      </c>
      <c r="AB41" s="2">
        <f t="shared" si="26"/>
        <v>0</v>
      </c>
      <c r="AC41" s="2">
        <f t="shared" si="26"/>
        <v>0</v>
      </c>
      <c r="AD41" s="2">
        <f t="shared" si="26"/>
        <v>0</v>
      </c>
      <c r="AE41" s="2">
        <f t="shared" si="26"/>
        <v>0</v>
      </c>
      <c r="AF41" s="2">
        <f t="shared" si="26"/>
        <v>0</v>
      </c>
      <c r="AG41" s="2">
        <f t="shared" si="26"/>
        <v>-7.6452599388370776E-2</v>
      </c>
      <c r="AH41" s="2">
        <f t="shared" si="26"/>
        <v>0</v>
      </c>
      <c r="AI41" s="2">
        <f t="shared" si="26"/>
        <v>0</v>
      </c>
      <c r="AJ41" s="2">
        <f t="shared" si="26"/>
        <v>0</v>
      </c>
      <c r="AK41" s="2">
        <f t="shared" si="26"/>
        <v>0</v>
      </c>
      <c r="AL41" s="2">
        <f t="shared" si="26"/>
        <v>0</v>
      </c>
      <c r="AM41" s="2">
        <f t="shared" si="26"/>
        <v>0</v>
      </c>
      <c r="AN41" s="2">
        <f t="shared" si="26"/>
        <v>0</v>
      </c>
      <c r="AO41" s="2">
        <f t="shared" si="26"/>
        <v>0</v>
      </c>
      <c r="AP41" s="2">
        <f t="shared" si="26"/>
        <v>0</v>
      </c>
      <c r="AQ41" s="2">
        <f t="shared" si="26"/>
        <v>0</v>
      </c>
      <c r="AR41" s="2">
        <f t="shared" si="26"/>
        <v>0</v>
      </c>
      <c r="AS41" s="2">
        <f t="shared" si="26"/>
        <v>0</v>
      </c>
      <c r="AT41" s="2">
        <f t="shared" si="26"/>
        <v>0</v>
      </c>
      <c r="AU41" s="2" t="e">
        <f t="shared" si="26"/>
        <v>#DIV/0!</v>
      </c>
      <c r="AV41" s="2" t="e">
        <f t="shared" si="26"/>
        <v>#DIV/0!</v>
      </c>
      <c r="AW41" s="2" t="e">
        <f t="shared" si="26"/>
        <v>#DIV/0!</v>
      </c>
      <c r="AX41" s="2">
        <f t="shared" si="26"/>
        <v>0</v>
      </c>
      <c r="AY41" s="2">
        <f t="shared" si="26"/>
        <v>0</v>
      </c>
      <c r="AZ41" s="2">
        <f t="shared" si="26"/>
        <v>0</v>
      </c>
      <c r="BA41" s="2">
        <f t="shared" si="26"/>
        <v>0</v>
      </c>
      <c r="BB41" s="2">
        <f t="shared" si="26"/>
        <v>0</v>
      </c>
      <c r="BC41" s="2">
        <f t="shared" si="26"/>
        <v>0</v>
      </c>
      <c r="BD41" s="2">
        <f t="shared" si="26"/>
        <v>0</v>
      </c>
      <c r="BE41" s="2">
        <f t="shared" si="26"/>
        <v>0</v>
      </c>
      <c r="BF41" s="2">
        <f t="shared" si="26"/>
        <v>0</v>
      </c>
      <c r="BG41" s="2">
        <f t="shared" si="26"/>
        <v>0</v>
      </c>
      <c r="BH41" s="2">
        <f t="shared" si="26"/>
        <v>0</v>
      </c>
      <c r="BI41" s="2">
        <f t="shared" si="26"/>
        <v>0</v>
      </c>
      <c r="BJ41" s="2">
        <f t="shared" si="26"/>
        <v>0</v>
      </c>
      <c r="BK41" s="2">
        <f t="shared" si="26"/>
        <v>0</v>
      </c>
      <c r="BL41" s="2">
        <f t="shared" si="26"/>
        <v>0</v>
      </c>
      <c r="BM41" s="2" t="e">
        <f t="shared" si="26"/>
        <v>#DIV/0!</v>
      </c>
      <c r="BN41" s="2">
        <f t="shared" ref="BN41:BX41" si="27">(BN28/BN5)*100</f>
        <v>0</v>
      </c>
      <c r="BO41" s="2">
        <f t="shared" si="27"/>
        <v>-20</v>
      </c>
      <c r="BP41" s="2">
        <f t="shared" si="27"/>
        <v>0</v>
      </c>
      <c r="BQ41" s="2">
        <f t="shared" si="27"/>
        <v>0</v>
      </c>
      <c r="BR41" s="2">
        <f t="shared" si="27"/>
        <v>0</v>
      </c>
      <c r="BS41" s="2">
        <f t="shared" si="27"/>
        <v>-0.1053740779768178</v>
      </c>
      <c r="BT41" s="2">
        <f t="shared" si="27"/>
        <v>0</v>
      </c>
      <c r="BU41" s="2">
        <f t="shared" si="27"/>
        <v>1.1332728921117927E-2</v>
      </c>
      <c r="BV41" s="2">
        <f t="shared" si="27"/>
        <v>0</v>
      </c>
      <c r="BW41" s="2">
        <f t="shared" si="27"/>
        <v>0</v>
      </c>
      <c r="BX41" s="2">
        <f t="shared" si="27"/>
        <v>0</v>
      </c>
      <c r="BY41" s="2"/>
      <c r="BZ41" s="2"/>
    </row>
    <row r="42" spans="1:78" x14ac:dyDescent="0.3">
      <c r="A42" s="2"/>
      <c r="B42" s="2">
        <f t="shared" ref="B42:BM42" si="28">(B29/B6)*100</f>
        <v>0.10090817356205861</v>
      </c>
      <c r="C42" s="2">
        <f t="shared" si="28"/>
        <v>0</v>
      </c>
      <c r="D42" s="2">
        <f t="shared" si="28"/>
        <v>0</v>
      </c>
      <c r="E42" s="2">
        <f t="shared" si="28"/>
        <v>0</v>
      </c>
      <c r="F42" s="2" t="e">
        <f t="shared" si="28"/>
        <v>#DIV/0!</v>
      </c>
      <c r="G42" s="2" t="e">
        <f t="shared" si="28"/>
        <v>#DIV/0!</v>
      </c>
      <c r="H42" s="2" t="e">
        <f t="shared" si="28"/>
        <v>#DIV/0!</v>
      </c>
      <c r="I42" s="2" t="e">
        <f t="shared" si="28"/>
        <v>#DIV/0!</v>
      </c>
      <c r="J42" s="2" t="e">
        <f t="shared" si="28"/>
        <v>#DIV/0!</v>
      </c>
      <c r="K42" s="2" t="e">
        <f t="shared" si="28"/>
        <v>#DIV/0!</v>
      </c>
      <c r="L42" s="2">
        <f t="shared" si="28"/>
        <v>0</v>
      </c>
      <c r="M42" s="2">
        <f t="shared" si="28"/>
        <v>0</v>
      </c>
      <c r="N42" s="2">
        <f t="shared" si="28"/>
        <v>0</v>
      </c>
      <c r="O42" s="2">
        <f t="shared" si="28"/>
        <v>0</v>
      </c>
      <c r="P42" s="2">
        <f t="shared" si="28"/>
        <v>0</v>
      </c>
      <c r="Q42" s="2">
        <f t="shared" si="28"/>
        <v>0</v>
      </c>
      <c r="R42" s="2">
        <f t="shared" si="28"/>
        <v>0</v>
      </c>
      <c r="S42" s="2">
        <f t="shared" si="28"/>
        <v>0</v>
      </c>
      <c r="T42" s="2">
        <f t="shared" si="28"/>
        <v>0</v>
      </c>
      <c r="U42" s="2">
        <f t="shared" si="28"/>
        <v>0</v>
      </c>
      <c r="V42" s="2">
        <f t="shared" si="28"/>
        <v>0</v>
      </c>
      <c r="W42" s="2">
        <f t="shared" si="28"/>
        <v>0</v>
      </c>
      <c r="X42" s="2">
        <f t="shared" si="28"/>
        <v>0</v>
      </c>
      <c r="Y42" s="2">
        <f t="shared" si="28"/>
        <v>0</v>
      </c>
      <c r="Z42" s="2">
        <f t="shared" si="28"/>
        <v>0</v>
      </c>
      <c r="AA42" s="2">
        <f t="shared" si="28"/>
        <v>5.0000000000000044</v>
      </c>
      <c r="AB42" s="2">
        <f t="shared" si="28"/>
        <v>0</v>
      </c>
      <c r="AC42" s="2">
        <f t="shared" si="28"/>
        <v>0</v>
      </c>
      <c r="AD42" s="2">
        <f t="shared" si="28"/>
        <v>0</v>
      </c>
      <c r="AE42" s="2">
        <f t="shared" si="28"/>
        <v>0</v>
      </c>
      <c r="AF42" s="2">
        <f t="shared" si="28"/>
        <v>0</v>
      </c>
      <c r="AG42" s="2">
        <f t="shared" si="28"/>
        <v>0</v>
      </c>
      <c r="AH42" s="2">
        <f t="shared" si="28"/>
        <v>0</v>
      </c>
      <c r="AI42" s="2">
        <f t="shared" si="28"/>
        <v>0</v>
      </c>
      <c r="AJ42" s="2">
        <f t="shared" si="28"/>
        <v>0</v>
      </c>
      <c r="AK42" s="2">
        <f t="shared" si="28"/>
        <v>0</v>
      </c>
      <c r="AL42" s="2">
        <f t="shared" si="28"/>
        <v>0</v>
      </c>
      <c r="AM42" s="2">
        <f t="shared" si="28"/>
        <v>0</v>
      </c>
      <c r="AN42" s="2">
        <f t="shared" si="28"/>
        <v>0</v>
      </c>
      <c r="AO42" s="2">
        <f t="shared" si="28"/>
        <v>33.333333333333329</v>
      </c>
      <c r="AP42" s="2">
        <f t="shared" si="28"/>
        <v>0</v>
      </c>
      <c r="AQ42" s="2">
        <f t="shared" si="28"/>
        <v>0</v>
      </c>
      <c r="AR42" s="2">
        <f t="shared" si="28"/>
        <v>0</v>
      </c>
      <c r="AS42" s="2">
        <f t="shared" si="28"/>
        <v>0</v>
      </c>
      <c r="AT42" s="2">
        <f t="shared" si="28"/>
        <v>0</v>
      </c>
      <c r="AU42" s="2" t="e">
        <f t="shared" si="28"/>
        <v>#DIV/0!</v>
      </c>
      <c r="AV42" s="2" t="e">
        <f t="shared" si="28"/>
        <v>#DIV/0!</v>
      </c>
      <c r="AW42" s="2" t="e">
        <f t="shared" si="28"/>
        <v>#DIV/0!</v>
      </c>
      <c r="AX42" s="2">
        <f t="shared" si="28"/>
        <v>0</v>
      </c>
      <c r="AY42" s="2" t="e">
        <f t="shared" si="28"/>
        <v>#DIV/0!</v>
      </c>
      <c r="AZ42" s="2">
        <f t="shared" si="28"/>
        <v>0</v>
      </c>
      <c r="BA42" s="2">
        <f t="shared" si="28"/>
        <v>0</v>
      </c>
      <c r="BB42" s="2">
        <f t="shared" si="28"/>
        <v>0</v>
      </c>
      <c r="BC42" s="2">
        <f t="shared" si="28"/>
        <v>0</v>
      </c>
      <c r="BD42" s="2">
        <f t="shared" si="28"/>
        <v>0</v>
      </c>
      <c r="BE42" s="2">
        <f t="shared" si="28"/>
        <v>0</v>
      </c>
      <c r="BF42" s="2">
        <f t="shared" si="28"/>
        <v>0</v>
      </c>
      <c r="BG42" s="2">
        <f t="shared" si="28"/>
        <v>25</v>
      </c>
      <c r="BH42" s="2">
        <f t="shared" si="28"/>
        <v>0</v>
      </c>
      <c r="BI42" s="2">
        <f t="shared" si="28"/>
        <v>-16.666666666666664</v>
      </c>
      <c r="BJ42" s="2">
        <f t="shared" si="28"/>
        <v>0</v>
      </c>
      <c r="BK42" s="2">
        <f t="shared" si="28"/>
        <v>-9.9999999999999911</v>
      </c>
      <c r="BL42" s="2">
        <f t="shared" si="28"/>
        <v>0</v>
      </c>
      <c r="BM42" s="2">
        <f t="shared" si="28"/>
        <v>0</v>
      </c>
      <c r="BN42" s="2">
        <f t="shared" ref="BN42:BX42" si="29">(BN29/BN6)*100</f>
        <v>0</v>
      </c>
      <c r="BO42" s="2">
        <f t="shared" si="29"/>
        <v>-5.5555555555555607</v>
      </c>
      <c r="BP42" s="2">
        <f t="shared" si="29"/>
        <v>0</v>
      </c>
      <c r="BQ42" s="2">
        <f t="shared" si="29"/>
        <v>0</v>
      </c>
      <c r="BR42" s="2">
        <f t="shared" si="29"/>
        <v>0</v>
      </c>
      <c r="BS42" s="2">
        <f t="shared" si="29"/>
        <v>-0.11160714285714296</v>
      </c>
      <c r="BT42" s="2">
        <f t="shared" si="29"/>
        <v>0</v>
      </c>
      <c r="BU42" s="2">
        <f t="shared" si="29"/>
        <v>4.485813614443826E-2</v>
      </c>
      <c r="BV42" s="2">
        <f t="shared" si="29"/>
        <v>0</v>
      </c>
      <c r="BW42" s="2">
        <f t="shared" si="29"/>
        <v>0</v>
      </c>
      <c r="BX42" s="2">
        <f t="shared" si="29"/>
        <v>0</v>
      </c>
      <c r="BY42" s="2"/>
      <c r="BZ42" s="2"/>
    </row>
    <row r="43" spans="1:78" x14ac:dyDescent="0.3">
      <c r="A43" s="2"/>
      <c r="B43" s="2">
        <f t="shared" ref="B43:BM43" si="30">(B30/B7)*100</f>
        <v>0</v>
      </c>
      <c r="C43" s="2">
        <f t="shared" si="30"/>
        <v>0</v>
      </c>
      <c r="D43" s="2">
        <f t="shared" si="30"/>
        <v>-1.492537313432837</v>
      </c>
      <c r="E43" s="2">
        <f t="shared" si="30"/>
        <v>0</v>
      </c>
      <c r="F43" s="2" t="e">
        <f t="shared" si="30"/>
        <v>#DIV/0!</v>
      </c>
      <c r="G43" s="2" t="e">
        <f t="shared" si="30"/>
        <v>#DIV/0!</v>
      </c>
      <c r="H43" s="2" t="e">
        <f t="shared" si="30"/>
        <v>#DIV/0!</v>
      </c>
      <c r="I43" s="2" t="e">
        <f t="shared" si="30"/>
        <v>#DIV/0!</v>
      </c>
      <c r="J43" s="2" t="e">
        <f t="shared" si="30"/>
        <v>#DIV/0!</v>
      </c>
      <c r="K43" s="2" t="e">
        <f t="shared" si="30"/>
        <v>#DIV/0!</v>
      </c>
      <c r="L43" s="2">
        <f t="shared" si="30"/>
        <v>0</v>
      </c>
      <c r="M43" s="2">
        <f t="shared" si="30"/>
        <v>6.4020486555704983E-2</v>
      </c>
      <c r="N43" s="2">
        <f t="shared" si="30"/>
        <v>0</v>
      </c>
      <c r="O43" s="2">
        <f t="shared" si="30"/>
        <v>0</v>
      </c>
      <c r="P43" s="2">
        <f t="shared" si="30"/>
        <v>0</v>
      </c>
      <c r="Q43" s="2">
        <f t="shared" si="30"/>
        <v>0</v>
      </c>
      <c r="R43" s="2">
        <f t="shared" si="30"/>
        <v>0</v>
      </c>
      <c r="S43" s="2">
        <f t="shared" si="30"/>
        <v>0</v>
      </c>
      <c r="T43" s="2">
        <f t="shared" si="30"/>
        <v>0</v>
      </c>
      <c r="U43" s="2">
        <f t="shared" si="30"/>
        <v>0</v>
      </c>
      <c r="V43" s="2">
        <f t="shared" si="30"/>
        <v>0</v>
      </c>
      <c r="W43" s="2">
        <f t="shared" si="30"/>
        <v>0</v>
      </c>
      <c r="X43" s="2">
        <f t="shared" si="30"/>
        <v>0</v>
      </c>
      <c r="Y43" s="2">
        <f t="shared" si="30"/>
        <v>0</v>
      </c>
      <c r="Z43" s="2">
        <f t="shared" si="30"/>
        <v>0</v>
      </c>
      <c r="AA43" s="2">
        <f t="shared" si="30"/>
        <v>0</v>
      </c>
      <c r="AB43" s="2">
        <f t="shared" si="30"/>
        <v>0</v>
      </c>
      <c r="AC43" s="2">
        <f t="shared" si="30"/>
        <v>0</v>
      </c>
      <c r="AD43" s="2">
        <f t="shared" si="30"/>
        <v>0</v>
      </c>
      <c r="AE43" s="2">
        <f t="shared" si="30"/>
        <v>0</v>
      </c>
      <c r="AF43" s="2">
        <f t="shared" si="30"/>
        <v>0</v>
      </c>
      <c r="AG43" s="2">
        <f t="shared" si="30"/>
        <v>0</v>
      </c>
      <c r="AH43" s="2">
        <f t="shared" si="30"/>
        <v>0</v>
      </c>
      <c r="AI43" s="2">
        <f t="shared" si="30"/>
        <v>0</v>
      </c>
      <c r="AJ43" s="2">
        <f t="shared" si="30"/>
        <v>0</v>
      </c>
      <c r="AK43" s="2">
        <f t="shared" si="30"/>
        <v>0</v>
      </c>
      <c r="AL43" s="2">
        <f t="shared" si="30"/>
        <v>0</v>
      </c>
      <c r="AM43" s="2">
        <f t="shared" si="30"/>
        <v>0</v>
      </c>
      <c r="AN43" s="2">
        <f t="shared" si="30"/>
        <v>0</v>
      </c>
      <c r="AO43" s="2">
        <f t="shared" si="30"/>
        <v>0</v>
      </c>
      <c r="AP43" s="2">
        <f t="shared" si="30"/>
        <v>0</v>
      </c>
      <c r="AQ43" s="2">
        <f t="shared" si="30"/>
        <v>0</v>
      </c>
      <c r="AR43" s="2">
        <f t="shared" si="30"/>
        <v>0</v>
      </c>
      <c r="AS43" s="2">
        <f t="shared" si="30"/>
        <v>0</v>
      </c>
      <c r="AT43" s="2">
        <f t="shared" si="30"/>
        <v>0</v>
      </c>
      <c r="AU43" s="2" t="e">
        <f t="shared" si="30"/>
        <v>#DIV/0!</v>
      </c>
      <c r="AV43" s="2" t="e">
        <f t="shared" si="30"/>
        <v>#DIV/0!</v>
      </c>
      <c r="AW43" s="2" t="e">
        <f t="shared" si="30"/>
        <v>#DIV/0!</v>
      </c>
      <c r="AX43" s="2">
        <f t="shared" si="30"/>
        <v>0</v>
      </c>
      <c r="AY43" s="2" t="e">
        <f t="shared" si="30"/>
        <v>#DIV/0!</v>
      </c>
      <c r="AZ43" s="2" t="e">
        <f t="shared" si="30"/>
        <v>#DIV/0!</v>
      </c>
      <c r="BA43" s="2">
        <f t="shared" si="30"/>
        <v>-25</v>
      </c>
      <c r="BB43" s="2">
        <f t="shared" si="30"/>
        <v>0</v>
      </c>
      <c r="BC43" s="2">
        <f t="shared" si="30"/>
        <v>0</v>
      </c>
      <c r="BD43" s="2">
        <f t="shared" si="30"/>
        <v>0</v>
      </c>
      <c r="BE43" s="2">
        <f t="shared" si="30"/>
        <v>0</v>
      </c>
      <c r="BF43" s="2">
        <f t="shared" si="30"/>
        <v>0</v>
      </c>
      <c r="BG43" s="2">
        <f t="shared" si="30"/>
        <v>0</v>
      </c>
      <c r="BH43" s="2">
        <f t="shared" si="30"/>
        <v>0</v>
      </c>
      <c r="BI43" s="2">
        <f t="shared" si="30"/>
        <v>0</v>
      </c>
      <c r="BJ43" s="2">
        <f t="shared" si="30"/>
        <v>-1.7857142857142874</v>
      </c>
      <c r="BK43" s="2">
        <f t="shared" si="30"/>
        <v>0</v>
      </c>
      <c r="BL43" s="2">
        <f t="shared" si="30"/>
        <v>0</v>
      </c>
      <c r="BM43" s="2">
        <f t="shared" si="30"/>
        <v>-6.6666666666666732</v>
      </c>
      <c r="BN43" s="2">
        <f t="shared" ref="BN43:BX43" si="31">(BN30/BN7)*100</f>
        <v>0</v>
      </c>
      <c r="BO43" s="2">
        <f t="shared" si="31"/>
        <v>0</v>
      </c>
      <c r="BP43" s="2">
        <f t="shared" si="31"/>
        <v>0</v>
      </c>
      <c r="BQ43" s="2">
        <f t="shared" si="31"/>
        <v>0</v>
      </c>
      <c r="BR43" s="2">
        <f t="shared" si="31"/>
        <v>0</v>
      </c>
      <c r="BS43" s="2">
        <f t="shared" si="31"/>
        <v>0</v>
      </c>
      <c r="BT43" s="2">
        <f t="shared" si="31"/>
        <v>0</v>
      </c>
      <c r="BU43" s="2">
        <f t="shared" si="31"/>
        <v>-1.1156978690184338E-2</v>
      </c>
      <c r="BV43" s="2">
        <f t="shared" si="31"/>
        <v>0</v>
      </c>
      <c r="BW43" s="2">
        <f t="shared" si="31"/>
        <v>0</v>
      </c>
      <c r="BX43" s="2">
        <f t="shared" si="31"/>
        <v>0</v>
      </c>
      <c r="BY43" s="2"/>
      <c r="BZ43" s="2"/>
    </row>
    <row r="44" spans="1:78" x14ac:dyDescent="0.3">
      <c r="A44" s="2"/>
      <c r="B44" s="2">
        <f t="shared" ref="B44:BM44" si="32">(B31/B8)*100</f>
        <v>0</v>
      </c>
      <c r="C44" s="2">
        <f t="shared" si="32"/>
        <v>0</v>
      </c>
      <c r="D44" s="2">
        <f t="shared" si="32"/>
        <v>-0.46728971962616861</v>
      </c>
      <c r="E44" s="2">
        <f t="shared" si="32"/>
        <v>5.5555555555555411</v>
      </c>
      <c r="F44" s="2" t="e">
        <f t="shared" si="32"/>
        <v>#DIV/0!</v>
      </c>
      <c r="G44" s="2" t="e">
        <f t="shared" si="32"/>
        <v>#DIV/0!</v>
      </c>
      <c r="H44" s="2" t="e">
        <f t="shared" si="32"/>
        <v>#DIV/0!</v>
      </c>
      <c r="I44" s="2" t="e">
        <f t="shared" si="32"/>
        <v>#DIV/0!</v>
      </c>
      <c r="J44" s="2" t="e">
        <f t="shared" si="32"/>
        <v>#DIV/0!</v>
      </c>
      <c r="K44" s="2" t="e">
        <f t="shared" si="32"/>
        <v>#DIV/0!</v>
      </c>
      <c r="L44" s="2">
        <f t="shared" si="32"/>
        <v>5.3705692803443172E-2</v>
      </c>
      <c r="M44" s="2">
        <f t="shared" si="32"/>
        <v>6.5189048239902986E-2</v>
      </c>
      <c r="N44" s="2">
        <f t="shared" si="32"/>
        <v>0</v>
      </c>
      <c r="O44" s="2">
        <f t="shared" si="32"/>
        <v>0</v>
      </c>
      <c r="P44" s="2">
        <f t="shared" si="32"/>
        <v>0</v>
      </c>
      <c r="Q44" s="2">
        <f t="shared" si="32"/>
        <v>0</v>
      </c>
      <c r="R44" s="2">
        <f t="shared" si="32"/>
        <v>0</v>
      </c>
      <c r="S44" s="2">
        <f t="shared" si="32"/>
        <v>0</v>
      </c>
      <c r="T44" s="2">
        <f t="shared" si="32"/>
        <v>0</v>
      </c>
      <c r="U44" s="2">
        <f t="shared" si="32"/>
        <v>0</v>
      </c>
      <c r="V44" s="2">
        <f t="shared" si="32"/>
        <v>0</v>
      </c>
      <c r="W44" s="2">
        <f t="shared" si="32"/>
        <v>0</v>
      </c>
      <c r="X44" s="2">
        <f t="shared" si="32"/>
        <v>0</v>
      </c>
      <c r="Y44" s="2">
        <f t="shared" si="32"/>
        <v>0</v>
      </c>
      <c r="Z44" s="2">
        <f t="shared" si="32"/>
        <v>0</v>
      </c>
      <c r="AA44" s="2">
        <f t="shared" si="32"/>
        <v>0</v>
      </c>
      <c r="AB44" s="2">
        <f t="shared" si="32"/>
        <v>0</v>
      </c>
      <c r="AC44" s="2">
        <f t="shared" si="32"/>
        <v>0</v>
      </c>
      <c r="AD44" s="2">
        <f t="shared" si="32"/>
        <v>0</v>
      </c>
      <c r="AE44" s="2">
        <f t="shared" si="32"/>
        <v>0</v>
      </c>
      <c r="AF44" s="2">
        <f t="shared" si="32"/>
        <v>0</v>
      </c>
      <c r="AG44" s="2">
        <f t="shared" si="32"/>
        <v>7.8926598263606151E-2</v>
      </c>
      <c r="AH44" s="2">
        <f t="shared" si="32"/>
        <v>0</v>
      </c>
      <c r="AI44" s="2">
        <f t="shared" si="32"/>
        <v>0</v>
      </c>
      <c r="AJ44" s="2">
        <f t="shared" si="32"/>
        <v>0</v>
      </c>
      <c r="AK44" s="2">
        <f t="shared" si="32"/>
        <v>0</v>
      </c>
      <c r="AL44" s="2">
        <f t="shared" si="32"/>
        <v>0</v>
      </c>
      <c r="AM44" s="2">
        <f t="shared" si="32"/>
        <v>0</v>
      </c>
      <c r="AN44" s="2">
        <f t="shared" si="32"/>
        <v>0</v>
      </c>
      <c r="AO44" s="2">
        <f t="shared" si="32"/>
        <v>0</v>
      </c>
      <c r="AP44" s="2">
        <f t="shared" si="32"/>
        <v>0</v>
      </c>
      <c r="AQ44" s="2">
        <f t="shared" si="32"/>
        <v>0</v>
      </c>
      <c r="AR44" s="2">
        <f t="shared" si="32"/>
        <v>0</v>
      </c>
      <c r="AS44" s="2">
        <f t="shared" si="32"/>
        <v>0</v>
      </c>
      <c r="AT44" s="2">
        <f t="shared" si="32"/>
        <v>0</v>
      </c>
      <c r="AU44" s="2" t="e">
        <f t="shared" si="32"/>
        <v>#DIV/0!</v>
      </c>
      <c r="AV44" s="2" t="e">
        <f t="shared" si="32"/>
        <v>#DIV/0!</v>
      </c>
      <c r="AW44" s="2" t="e">
        <f t="shared" si="32"/>
        <v>#DIV/0!</v>
      </c>
      <c r="AX44" s="2" t="e">
        <f t="shared" si="32"/>
        <v>#DIV/0!</v>
      </c>
      <c r="AY44" s="2" t="e">
        <f t="shared" si="32"/>
        <v>#DIV/0!</v>
      </c>
      <c r="AZ44" s="2" t="e">
        <f t="shared" si="32"/>
        <v>#DIV/0!</v>
      </c>
      <c r="BA44" s="2">
        <f t="shared" si="32"/>
        <v>0</v>
      </c>
      <c r="BB44" s="2">
        <f t="shared" si="32"/>
        <v>16.666666666666664</v>
      </c>
      <c r="BC44" s="2">
        <f t="shared" si="32"/>
        <v>0</v>
      </c>
      <c r="BD44" s="2">
        <f t="shared" si="32"/>
        <v>0</v>
      </c>
      <c r="BE44" s="2">
        <f t="shared" si="32"/>
        <v>0</v>
      </c>
      <c r="BF44" s="2">
        <f t="shared" si="32"/>
        <v>0</v>
      </c>
      <c r="BG44" s="2">
        <f t="shared" si="32"/>
        <v>0</v>
      </c>
      <c r="BH44" s="2">
        <f t="shared" si="32"/>
        <v>0</v>
      </c>
      <c r="BI44" s="2">
        <f t="shared" si="32"/>
        <v>0</v>
      </c>
      <c r="BJ44" s="2">
        <f t="shared" si="32"/>
        <v>0</v>
      </c>
      <c r="BK44" s="2">
        <f t="shared" si="32"/>
        <v>0</v>
      </c>
      <c r="BL44" s="2">
        <f t="shared" si="32"/>
        <v>0</v>
      </c>
      <c r="BM44" s="2">
        <f t="shared" si="32"/>
        <v>0</v>
      </c>
      <c r="BN44" s="2">
        <f t="shared" ref="BN44:BX44" si="33">(BN31/BN8)*100</f>
        <v>0</v>
      </c>
      <c r="BO44" s="2">
        <f t="shared" si="33"/>
        <v>0</v>
      </c>
      <c r="BP44" s="2">
        <f t="shared" si="33"/>
        <v>0</v>
      </c>
      <c r="BQ44" s="2">
        <f t="shared" si="33"/>
        <v>0</v>
      </c>
      <c r="BR44" s="2">
        <f t="shared" si="33"/>
        <v>0</v>
      </c>
      <c r="BS44" s="2">
        <f t="shared" si="33"/>
        <v>0.12484394506866428</v>
      </c>
      <c r="BT44" s="2">
        <f t="shared" si="33"/>
        <v>0</v>
      </c>
      <c r="BU44" s="2">
        <f t="shared" si="33"/>
        <v>-1.1127183709796882E-2</v>
      </c>
      <c r="BV44" s="2">
        <f t="shared" si="33"/>
        <v>0</v>
      </c>
      <c r="BW44" s="2">
        <f t="shared" si="33"/>
        <v>0</v>
      </c>
      <c r="BX44" s="2">
        <f t="shared" si="33"/>
        <v>0</v>
      </c>
      <c r="BY44" s="2"/>
      <c r="BZ44" s="2"/>
    </row>
    <row r="45" spans="1:78" x14ac:dyDescent="0.3">
      <c r="A45" s="2"/>
      <c r="B45" s="2">
        <f t="shared" ref="B45:BM45" si="34">(B32/B9)*100</f>
        <v>-0.10101010101010109</v>
      </c>
      <c r="C45" s="2">
        <f t="shared" si="34"/>
        <v>0</v>
      </c>
      <c r="D45" s="2">
        <f t="shared" si="34"/>
        <v>0</v>
      </c>
      <c r="E45" s="2">
        <f t="shared" si="34"/>
        <v>0</v>
      </c>
      <c r="F45" s="2" t="e">
        <f t="shared" si="34"/>
        <v>#DIV/0!</v>
      </c>
      <c r="G45" s="2" t="e">
        <f t="shared" si="34"/>
        <v>#DIV/0!</v>
      </c>
      <c r="H45" s="2" t="e">
        <f t="shared" si="34"/>
        <v>#DIV/0!</v>
      </c>
      <c r="I45" s="2" t="e">
        <f t="shared" si="34"/>
        <v>#DIV/0!</v>
      </c>
      <c r="J45" s="2" t="e">
        <f t="shared" si="34"/>
        <v>#DIV/0!</v>
      </c>
      <c r="K45" s="2" t="e">
        <f t="shared" si="34"/>
        <v>#DIV/0!</v>
      </c>
      <c r="L45" s="2">
        <f t="shared" si="34"/>
        <v>5.382131324004908E-2</v>
      </c>
      <c r="M45" s="2">
        <f t="shared" si="34"/>
        <v>0</v>
      </c>
      <c r="N45" s="2">
        <f t="shared" si="34"/>
        <v>0</v>
      </c>
      <c r="O45" s="2">
        <f t="shared" si="34"/>
        <v>0</v>
      </c>
      <c r="P45" s="2">
        <f t="shared" si="34"/>
        <v>0</v>
      </c>
      <c r="Q45" s="2">
        <f t="shared" si="34"/>
        <v>0</v>
      </c>
      <c r="R45" s="2">
        <f t="shared" si="34"/>
        <v>-3.0303030303030329</v>
      </c>
      <c r="S45" s="2">
        <f t="shared" si="34"/>
        <v>0</v>
      </c>
      <c r="T45" s="2">
        <f t="shared" si="34"/>
        <v>0</v>
      </c>
      <c r="U45" s="2">
        <f t="shared" si="34"/>
        <v>0</v>
      </c>
      <c r="V45" s="2">
        <f t="shared" si="34"/>
        <v>0</v>
      </c>
      <c r="W45" s="2">
        <f t="shared" si="34"/>
        <v>0</v>
      </c>
      <c r="X45" s="2">
        <f t="shared" si="34"/>
        <v>0</v>
      </c>
      <c r="Y45" s="2">
        <f t="shared" si="34"/>
        <v>0</v>
      </c>
      <c r="Z45" s="2">
        <f t="shared" si="34"/>
        <v>0</v>
      </c>
      <c r="AA45" s="2">
        <f t="shared" si="34"/>
        <v>0</v>
      </c>
      <c r="AB45" s="2">
        <f t="shared" si="34"/>
        <v>0</v>
      </c>
      <c r="AC45" s="2">
        <f t="shared" si="34"/>
        <v>0</v>
      </c>
      <c r="AD45" s="2">
        <f t="shared" si="34"/>
        <v>0</v>
      </c>
      <c r="AE45" s="2">
        <f t="shared" si="34"/>
        <v>0</v>
      </c>
      <c r="AF45" s="2">
        <f t="shared" si="34"/>
        <v>0</v>
      </c>
      <c r="AG45" s="2">
        <f t="shared" si="34"/>
        <v>0</v>
      </c>
      <c r="AH45" s="2">
        <f t="shared" si="34"/>
        <v>0</v>
      </c>
      <c r="AI45" s="2">
        <f t="shared" si="34"/>
        <v>0</v>
      </c>
      <c r="AJ45" s="2">
        <f t="shared" si="34"/>
        <v>0</v>
      </c>
      <c r="AK45" s="2">
        <f t="shared" si="34"/>
        <v>0</v>
      </c>
      <c r="AL45" s="2">
        <f t="shared" si="34"/>
        <v>0</v>
      </c>
      <c r="AM45" s="2">
        <f t="shared" si="34"/>
        <v>0</v>
      </c>
      <c r="AN45" s="2">
        <f t="shared" si="34"/>
        <v>0</v>
      </c>
      <c r="AO45" s="2">
        <f t="shared" si="34"/>
        <v>0</v>
      </c>
      <c r="AP45" s="2">
        <f t="shared" si="34"/>
        <v>0</v>
      </c>
      <c r="AQ45" s="2">
        <f t="shared" si="34"/>
        <v>0</v>
      </c>
      <c r="AR45" s="2">
        <f t="shared" si="34"/>
        <v>0</v>
      </c>
      <c r="AS45" s="2">
        <f t="shared" si="34"/>
        <v>0</v>
      </c>
      <c r="AT45" s="2">
        <f t="shared" si="34"/>
        <v>0</v>
      </c>
      <c r="AU45" s="2" t="e">
        <f t="shared" si="34"/>
        <v>#DIV/0!</v>
      </c>
      <c r="AV45" s="2" t="e">
        <f t="shared" si="34"/>
        <v>#DIV/0!</v>
      </c>
      <c r="AW45" s="2" t="e">
        <f t="shared" si="34"/>
        <v>#DIV/0!</v>
      </c>
      <c r="AX45" s="2" t="e">
        <f t="shared" si="34"/>
        <v>#DIV/0!</v>
      </c>
      <c r="AY45" s="2" t="e">
        <f t="shared" si="34"/>
        <v>#DIV/0!</v>
      </c>
      <c r="AZ45" s="2" t="e">
        <f t="shared" si="34"/>
        <v>#DIV/0!</v>
      </c>
      <c r="BA45" s="2">
        <f t="shared" si="34"/>
        <v>0</v>
      </c>
      <c r="BB45" s="2">
        <f t="shared" si="34"/>
        <v>0</v>
      </c>
      <c r="BC45" s="2">
        <f t="shared" si="34"/>
        <v>0</v>
      </c>
      <c r="BD45" s="2">
        <f t="shared" si="34"/>
        <v>0</v>
      </c>
      <c r="BE45" s="2">
        <f t="shared" si="34"/>
        <v>0</v>
      </c>
      <c r="BF45" s="2">
        <f t="shared" si="34"/>
        <v>0</v>
      </c>
      <c r="BG45" s="2">
        <f t="shared" si="34"/>
        <v>25</v>
      </c>
      <c r="BH45" s="2">
        <f t="shared" si="34"/>
        <v>0</v>
      </c>
      <c r="BI45" s="2">
        <f t="shared" si="34"/>
        <v>25</v>
      </c>
      <c r="BJ45" s="2">
        <f t="shared" si="34"/>
        <v>0</v>
      </c>
      <c r="BK45" s="2">
        <f t="shared" si="34"/>
        <v>0</v>
      </c>
      <c r="BL45" s="2">
        <f t="shared" si="34"/>
        <v>0</v>
      </c>
      <c r="BM45" s="2">
        <f t="shared" si="34"/>
        <v>0</v>
      </c>
      <c r="BN45" s="2">
        <f t="shared" ref="BN45:BX45" si="35">(BN32/BN9)*100</f>
        <v>0</v>
      </c>
      <c r="BO45" s="2">
        <f t="shared" si="35"/>
        <v>0</v>
      </c>
      <c r="BP45" s="2">
        <f t="shared" si="35"/>
        <v>0</v>
      </c>
      <c r="BQ45" s="2">
        <f t="shared" si="35"/>
        <v>0</v>
      </c>
      <c r="BR45" s="2">
        <f t="shared" si="35"/>
        <v>0</v>
      </c>
      <c r="BS45" s="2">
        <f t="shared" si="35"/>
        <v>0.12755102040816335</v>
      </c>
      <c r="BT45" s="2">
        <f t="shared" si="35"/>
        <v>-9.0909090909090988</v>
      </c>
      <c r="BU45" s="2">
        <f t="shared" si="35"/>
        <v>-1.1072970878080454E-2</v>
      </c>
      <c r="BV45" s="2">
        <f t="shared" si="35"/>
        <v>0</v>
      </c>
      <c r="BW45" s="2">
        <f t="shared" si="35"/>
        <v>0</v>
      </c>
      <c r="BX45" s="2">
        <f t="shared" si="35"/>
        <v>0</v>
      </c>
      <c r="BY45" s="2"/>
      <c r="BZ45" s="2"/>
    </row>
    <row r="46" spans="1:78" x14ac:dyDescent="0.3">
      <c r="A46" s="2"/>
      <c r="B46" s="2">
        <f t="shared" ref="B46:BM46" si="36">(B33/B10)*100</f>
        <v>-0.10101010101010109</v>
      </c>
      <c r="C46" s="2">
        <f t="shared" si="36"/>
        <v>0</v>
      </c>
      <c r="D46" s="2">
        <f t="shared" si="36"/>
        <v>0</v>
      </c>
      <c r="E46" s="2">
        <f t="shared" si="36"/>
        <v>0</v>
      </c>
      <c r="F46" s="2" t="e">
        <f t="shared" si="36"/>
        <v>#DIV/0!</v>
      </c>
      <c r="G46" s="2" t="e">
        <f t="shared" si="36"/>
        <v>#DIV/0!</v>
      </c>
      <c r="H46" s="2" t="e">
        <f t="shared" si="36"/>
        <v>#DIV/0!</v>
      </c>
      <c r="I46" s="2" t="e">
        <f t="shared" si="36"/>
        <v>#DIV/0!</v>
      </c>
      <c r="J46" s="2" t="e">
        <f t="shared" si="36"/>
        <v>#DIV/0!</v>
      </c>
      <c r="K46" s="2" t="e">
        <f t="shared" si="36"/>
        <v>#DIV/0!</v>
      </c>
      <c r="L46" s="2">
        <f t="shared" si="36"/>
        <v>-5.2854122621570403E-2</v>
      </c>
      <c r="M46" s="2">
        <f t="shared" si="36"/>
        <v>-6.6006600660073397E-2</v>
      </c>
      <c r="N46" s="2">
        <f t="shared" si="36"/>
        <v>3.5536602700777888E-2</v>
      </c>
      <c r="O46" s="2">
        <f t="shared" si="36"/>
        <v>0</v>
      </c>
      <c r="P46" s="2">
        <f t="shared" si="36"/>
        <v>0</v>
      </c>
      <c r="Q46" s="2">
        <f t="shared" si="36"/>
        <v>0</v>
      </c>
      <c r="R46" s="2">
        <f t="shared" si="36"/>
        <v>-1.9607843137254919</v>
      </c>
      <c r="S46" s="2">
        <f t="shared" si="36"/>
        <v>0</v>
      </c>
      <c r="T46" s="2">
        <f t="shared" si="36"/>
        <v>0</v>
      </c>
      <c r="U46" s="2">
        <f t="shared" si="36"/>
        <v>0</v>
      </c>
      <c r="V46" s="2">
        <f t="shared" si="36"/>
        <v>0</v>
      </c>
      <c r="W46" s="2">
        <f t="shared" si="36"/>
        <v>0</v>
      </c>
      <c r="X46" s="2">
        <f t="shared" si="36"/>
        <v>0</v>
      </c>
      <c r="Y46" s="2">
        <f t="shared" si="36"/>
        <v>0</v>
      </c>
      <c r="Z46" s="2">
        <f t="shared" si="36"/>
        <v>0</v>
      </c>
      <c r="AA46" s="2">
        <f t="shared" si="36"/>
        <v>0</v>
      </c>
      <c r="AB46" s="2">
        <f t="shared" si="36"/>
        <v>0</v>
      </c>
      <c r="AC46" s="2">
        <f t="shared" si="36"/>
        <v>0</v>
      </c>
      <c r="AD46" s="2">
        <f t="shared" si="36"/>
        <v>0</v>
      </c>
      <c r="AE46" s="2">
        <f t="shared" si="36"/>
        <v>0</v>
      </c>
      <c r="AF46" s="2">
        <f t="shared" si="36"/>
        <v>0</v>
      </c>
      <c r="AG46" s="2">
        <f t="shared" si="36"/>
        <v>-7.6923076923068448E-2</v>
      </c>
      <c r="AH46" s="2">
        <f t="shared" si="36"/>
        <v>0</v>
      </c>
      <c r="AI46" s="2">
        <f t="shared" si="36"/>
        <v>0</v>
      </c>
      <c r="AJ46" s="2">
        <f t="shared" si="36"/>
        <v>0</v>
      </c>
      <c r="AK46" s="2">
        <f t="shared" si="36"/>
        <v>0</v>
      </c>
      <c r="AL46" s="2">
        <f t="shared" si="36"/>
        <v>0</v>
      </c>
      <c r="AM46" s="2">
        <f t="shared" si="36"/>
        <v>0</v>
      </c>
      <c r="AN46" s="2">
        <f t="shared" si="36"/>
        <v>0</v>
      </c>
      <c r="AO46" s="2">
        <f t="shared" si="36"/>
        <v>10.000000000000009</v>
      </c>
      <c r="AP46" s="2">
        <f t="shared" si="36"/>
        <v>0</v>
      </c>
      <c r="AQ46" s="2">
        <f t="shared" si="36"/>
        <v>0</v>
      </c>
      <c r="AR46" s="2">
        <f t="shared" si="36"/>
        <v>0</v>
      </c>
      <c r="AS46" s="2">
        <f t="shared" si="36"/>
        <v>0</v>
      </c>
      <c r="AT46" s="2">
        <f t="shared" si="36"/>
        <v>0</v>
      </c>
      <c r="AU46" s="2" t="e">
        <f t="shared" si="36"/>
        <v>#DIV/0!</v>
      </c>
      <c r="AV46" s="2" t="e">
        <f t="shared" si="36"/>
        <v>#DIV/0!</v>
      </c>
      <c r="AW46" s="2" t="e">
        <f t="shared" si="36"/>
        <v>#DIV/0!</v>
      </c>
      <c r="AX46" s="2" t="e">
        <f t="shared" si="36"/>
        <v>#DIV/0!</v>
      </c>
      <c r="AY46" s="2">
        <f t="shared" si="36"/>
        <v>0</v>
      </c>
      <c r="AZ46" s="2" t="e">
        <f t="shared" si="36"/>
        <v>#DIV/0!</v>
      </c>
      <c r="BA46" s="2">
        <f t="shared" si="36"/>
        <v>0</v>
      </c>
      <c r="BB46" s="2">
        <f t="shared" si="36"/>
        <v>0</v>
      </c>
      <c r="BC46" s="2">
        <f t="shared" si="36"/>
        <v>0</v>
      </c>
      <c r="BD46" s="2">
        <f t="shared" si="36"/>
        <v>0</v>
      </c>
      <c r="BE46" s="2">
        <f t="shared" si="36"/>
        <v>0</v>
      </c>
      <c r="BF46" s="2">
        <f t="shared" si="36"/>
        <v>0</v>
      </c>
      <c r="BG46" s="2">
        <f t="shared" si="36"/>
        <v>0</v>
      </c>
      <c r="BH46" s="2">
        <f t="shared" si="36"/>
        <v>0</v>
      </c>
      <c r="BI46" s="2">
        <f t="shared" si="36"/>
        <v>-7.6923076923076996</v>
      </c>
      <c r="BJ46" s="2">
        <f t="shared" si="36"/>
        <v>0</v>
      </c>
      <c r="BK46" s="2">
        <f t="shared" si="36"/>
        <v>0</v>
      </c>
      <c r="BL46" s="2">
        <f t="shared" si="36"/>
        <v>0</v>
      </c>
      <c r="BM46" s="2">
        <f t="shared" si="36"/>
        <v>0</v>
      </c>
      <c r="BN46" s="2">
        <f t="shared" ref="BN46:BX46" si="37">(BN33/BN10)*100</f>
        <v>2.7777777777777612</v>
      </c>
      <c r="BO46" s="2">
        <f t="shared" si="37"/>
        <v>0</v>
      </c>
      <c r="BP46" s="2">
        <f t="shared" si="37"/>
        <v>0</v>
      </c>
      <c r="BQ46" s="2">
        <f t="shared" si="37"/>
        <v>0</v>
      </c>
      <c r="BR46" s="2">
        <f t="shared" si="37"/>
        <v>0</v>
      </c>
      <c r="BS46" s="2">
        <f t="shared" si="37"/>
        <v>0</v>
      </c>
      <c r="BT46" s="2">
        <f t="shared" si="37"/>
        <v>0</v>
      </c>
      <c r="BU46" s="2">
        <f t="shared" si="37"/>
        <v>-2.2719527433816781E-2</v>
      </c>
      <c r="BV46" s="2">
        <f t="shared" si="37"/>
        <v>0</v>
      </c>
      <c r="BW46" s="2">
        <f t="shared" si="37"/>
        <v>0</v>
      </c>
      <c r="BX46" s="2">
        <f t="shared" si="37"/>
        <v>0</v>
      </c>
      <c r="BY46" s="2"/>
      <c r="BZ46" s="2"/>
    </row>
    <row r="47" spans="1:78" x14ac:dyDescent="0.3">
      <c r="A47" s="2"/>
      <c r="B47" s="2">
        <f t="shared" ref="B47:BM47" si="38">(B34/B11)*100</f>
        <v>0</v>
      </c>
      <c r="C47" s="2">
        <f t="shared" si="38"/>
        <v>0</v>
      </c>
      <c r="D47" s="2">
        <f t="shared" si="38"/>
        <v>0.40983606557377084</v>
      </c>
      <c r="E47" s="2">
        <f t="shared" si="38"/>
        <v>0</v>
      </c>
      <c r="F47" s="2" t="e">
        <f t="shared" si="38"/>
        <v>#DIV/0!</v>
      </c>
      <c r="G47" s="2" t="e">
        <f t="shared" si="38"/>
        <v>#DIV/0!</v>
      </c>
      <c r="H47" s="2" t="e">
        <f t="shared" si="38"/>
        <v>#DIV/0!</v>
      </c>
      <c r="I47" s="2" t="e">
        <f t="shared" si="38"/>
        <v>#DIV/0!</v>
      </c>
      <c r="J47" s="2" t="e">
        <f t="shared" si="38"/>
        <v>#DIV/0!</v>
      </c>
      <c r="K47" s="2" t="e">
        <f t="shared" si="38"/>
        <v>#DIV/0!</v>
      </c>
      <c r="L47" s="2">
        <f t="shared" si="38"/>
        <v>0</v>
      </c>
      <c r="M47" s="2">
        <f t="shared" si="38"/>
        <v>-6.5703022339020353E-2</v>
      </c>
      <c r="N47" s="2">
        <f t="shared" si="38"/>
        <v>-3.558718861209572E-2</v>
      </c>
      <c r="O47" s="2">
        <f t="shared" si="38"/>
        <v>0</v>
      </c>
      <c r="P47" s="2">
        <f t="shared" si="38"/>
        <v>0</v>
      </c>
      <c r="Q47" s="2">
        <f t="shared" si="38"/>
        <v>0</v>
      </c>
      <c r="R47" s="2">
        <f t="shared" si="38"/>
        <v>0</v>
      </c>
      <c r="S47" s="2">
        <f t="shared" si="38"/>
        <v>0</v>
      </c>
      <c r="T47" s="2">
        <f t="shared" si="38"/>
        <v>0</v>
      </c>
      <c r="U47" s="2">
        <f t="shared" si="38"/>
        <v>0</v>
      </c>
      <c r="V47" s="2">
        <f t="shared" si="38"/>
        <v>0</v>
      </c>
      <c r="W47" s="2">
        <f t="shared" si="38"/>
        <v>0</v>
      </c>
      <c r="X47" s="2">
        <f t="shared" si="38"/>
        <v>0</v>
      </c>
      <c r="Y47" s="2">
        <f t="shared" si="38"/>
        <v>0</v>
      </c>
      <c r="Z47" s="2">
        <f t="shared" si="38"/>
        <v>0</v>
      </c>
      <c r="AA47" s="2">
        <f t="shared" si="38"/>
        <v>0</v>
      </c>
      <c r="AB47" s="2">
        <f t="shared" si="38"/>
        <v>0</v>
      </c>
      <c r="AC47" s="2">
        <f t="shared" si="38"/>
        <v>0</v>
      </c>
      <c r="AD47" s="2">
        <f t="shared" si="38"/>
        <v>0</v>
      </c>
      <c r="AE47" s="2">
        <f t="shared" si="38"/>
        <v>0</v>
      </c>
      <c r="AF47" s="2">
        <f t="shared" si="38"/>
        <v>0</v>
      </c>
      <c r="AG47" s="2">
        <f t="shared" si="38"/>
        <v>0</v>
      </c>
      <c r="AH47" s="2">
        <f t="shared" si="38"/>
        <v>0</v>
      </c>
      <c r="AI47" s="2">
        <f t="shared" si="38"/>
        <v>0</v>
      </c>
      <c r="AJ47" s="2">
        <f t="shared" si="38"/>
        <v>0</v>
      </c>
      <c r="AK47" s="2">
        <f t="shared" si="38"/>
        <v>0</v>
      </c>
      <c r="AL47" s="2">
        <f t="shared" si="38"/>
        <v>0</v>
      </c>
      <c r="AM47" s="2">
        <f t="shared" si="38"/>
        <v>0</v>
      </c>
      <c r="AN47" s="2">
        <f t="shared" si="38"/>
        <v>0</v>
      </c>
      <c r="AO47" s="2">
        <f t="shared" si="38"/>
        <v>0</v>
      </c>
      <c r="AP47" s="2">
        <f t="shared" si="38"/>
        <v>0</v>
      </c>
      <c r="AQ47" s="2">
        <f t="shared" si="38"/>
        <v>0</v>
      </c>
      <c r="AR47" s="2">
        <f t="shared" si="38"/>
        <v>0</v>
      </c>
      <c r="AS47" s="2">
        <f t="shared" si="38"/>
        <v>0</v>
      </c>
      <c r="AT47" s="2">
        <f t="shared" si="38"/>
        <v>0</v>
      </c>
      <c r="AU47" s="2" t="e">
        <f t="shared" si="38"/>
        <v>#DIV/0!</v>
      </c>
      <c r="AV47" s="2" t="e">
        <f t="shared" si="38"/>
        <v>#DIV/0!</v>
      </c>
      <c r="AW47" s="2" t="e">
        <f t="shared" si="38"/>
        <v>#DIV/0!</v>
      </c>
      <c r="AX47" s="2" t="e">
        <f t="shared" si="38"/>
        <v>#DIV/0!</v>
      </c>
      <c r="AY47" s="2" t="e">
        <f t="shared" si="38"/>
        <v>#DIV/0!</v>
      </c>
      <c r="AZ47" s="2">
        <f t="shared" si="38"/>
        <v>0</v>
      </c>
      <c r="BA47" s="2">
        <f t="shared" si="38"/>
        <v>0</v>
      </c>
      <c r="BB47" s="2">
        <f t="shared" si="38"/>
        <v>0</v>
      </c>
      <c r="BC47" s="2">
        <f t="shared" si="38"/>
        <v>0</v>
      </c>
      <c r="BD47" s="2">
        <f t="shared" si="38"/>
        <v>0</v>
      </c>
      <c r="BE47" s="2">
        <f t="shared" si="38"/>
        <v>0</v>
      </c>
      <c r="BF47" s="2">
        <f t="shared" si="38"/>
        <v>0</v>
      </c>
      <c r="BG47" s="2">
        <f t="shared" si="38"/>
        <v>0</v>
      </c>
      <c r="BH47" s="2">
        <f t="shared" si="38"/>
        <v>6.2500000000000053</v>
      </c>
      <c r="BI47" s="2">
        <f t="shared" si="38"/>
        <v>0</v>
      </c>
      <c r="BJ47" s="2">
        <f t="shared" si="38"/>
        <v>0</v>
      </c>
      <c r="BK47" s="2">
        <f t="shared" si="38"/>
        <v>0</v>
      </c>
      <c r="BL47" s="2">
        <f t="shared" si="38"/>
        <v>0</v>
      </c>
      <c r="BM47" s="2">
        <f t="shared" si="38"/>
        <v>33.333333333333329</v>
      </c>
      <c r="BN47" s="2">
        <f t="shared" ref="BN47:BX47" si="39">(BN34/BN11)*100</f>
        <v>-1.5873015873015885</v>
      </c>
      <c r="BO47" s="2">
        <f t="shared" si="39"/>
        <v>-20</v>
      </c>
      <c r="BP47" s="2">
        <f t="shared" si="39"/>
        <v>0</v>
      </c>
      <c r="BQ47" s="2">
        <f t="shared" si="39"/>
        <v>0</v>
      </c>
      <c r="BR47" s="2">
        <f t="shared" si="39"/>
        <v>0</v>
      </c>
      <c r="BS47" s="2">
        <f t="shared" si="39"/>
        <v>0</v>
      </c>
      <c r="BT47" s="2">
        <f t="shared" si="39"/>
        <v>0</v>
      </c>
      <c r="BU47" s="2">
        <f t="shared" si="39"/>
        <v>2.2812820805279931E-2</v>
      </c>
      <c r="BV47" s="2">
        <f t="shared" si="39"/>
        <v>0</v>
      </c>
      <c r="BW47" s="2">
        <f t="shared" si="39"/>
        <v>0</v>
      </c>
      <c r="BX47" s="2">
        <f t="shared" si="39"/>
        <v>0</v>
      </c>
      <c r="BY47" s="2"/>
      <c r="BZ47" s="2"/>
    </row>
    <row r="48" spans="1:7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3">
      <c r="A49" s="1" t="s">
        <v>87</v>
      </c>
      <c r="B49" s="8">
        <f xml:space="preserve"> AVERAGE(B38:B47)</f>
        <v>-2.0232660335692911E-2</v>
      </c>
      <c r="C49" s="8">
        <f t="shared" ref="C49:BN49" si="40" xml:space="preserve"> AVERAGE(C38:C47)</f>
        <v>-0.45238095238095283</v>
      </c>
      <c r="D49" s="8">
        <f t="shared" si="40"/>
        <v>-0.11653755828698498</v>
      </c>
      <c r="E49" s="8">
        <f t="shared" si="40"/>
        <v>0.55555555555555414</v>
      </c>
      <c r="F49" s="8" t="e">
        <f t="shared" si="40"/>
        <v>#DIV/0!</v>
      </c>
      <c r="G49" s="8" t="e">
        <f t="shared" si="40"/>
        <v>#DIV/0!</v>
      </c>
      <c r="H49" s="8" t="e">
        <f t="shared" si="40"/>
        <v>#DIV/0!</v>
      </c>
      <c r="I49" s="8" t="e">
        <f t="shared" si="40"/>
        <v>#DIV/0!</v>
      </c>
      <c r="J49" s="8" t="e">
        <f t="shared" si="40"/>
        <v>#DIV/0!</v>
      </c>
      <c r="K49" s="8" t="e">
        <f t="shared" si="40"/>
        <v>#DIV/0!</v>
      </c>
      <c r="L49" s="8">
        <f t="shared" si="40"/>
        <v>5.512270928307356E-3</v>
      </c>
      <c r="M49" s="8">
        <f t="shared" si="40"/>
        <v>-4.3409598347979306E-4</v>
      </c>
      <c r="N49" s="8">
        <f t="shared" si="40"/>
        <v>-5.0585911317832525E-6</v>
      </c>
      <c r="O49" s="8">
        <f t="shared" si="40"/>
        <v>0</v>
      </c>
      <c r="P49" s="8">
        <f t="shared" si="40"/>
        <v>0</v>
      </c>
      <c r="Q49" s="8">
        <f t="shared" si="40"/>
        <v>0</v>
      </c>
      <c r="R49" s="8">
        <f t="shared" si="40"/>
        <v>-0.49910873440285253</v>
      </c>
      <c r="S49" s="8">
        <f t="shared" si="40"/>
        <v>0</v>
      </c>
      <c r="T49" s="8">
        <f t="shared" si="40"/>
        <v>0</v>
      </c>
      <c r="U49" s="8">
        <f t="shared" si="40"/>
        <v>0</v>
      </c>
      <c r="V49" s="8">
        <f t="shared" si="40"/>
        <v>0</v>
      </c>
      <c r="W49" s="8">
        <f t="shared" si="40"/>
        <v>0</v>
      </c>
      <c r="X49" s="8">
        <f t="shared" si="40"/>
        <v>0.38461538461538364</v>
      </c>
      <c r="Y49" s="8">
        <f t="shared" si="40"/>
        <v>0</v>
      </c>
      <c r="Z49" s="8">
        <f t="shared" si="40"/>
        <v>0</v>
      </c>
      <c r="AA49" s="8">
        <f t="shared" si="40"/>
        <v>0.50000000000000044</v>
      </c>
      <c r="AB49" s="8">
        <f t="shared" si="40"/>
        <v>0</v>
      </c>
      <c r="AC49" s="8">
        <f t="shared" si="40"/>
        <v>0</v>
      </c>
      <c r="AD49" s="8">
        <f t="shared" si="40"/>
        <v>0</v>
      </c>
      <c r="AE49" s="8">
        <f t="shared" si="40"/>
        <v>0</v>
      </c>
      <c r="AF49" s="8">
        <f t="shared" si="40"/>
        <v>0</v>
      </c>
      <c r="AG49" s="8">
        <f t="shared" si="40"/>
        <v>4.0438575879684914E-4</v>
      </c>
      <c r="AH49" s="8">
        <f t="shared" si="40"/>
        <v>8.3333333333333412E-2</v>
      </c>
      <c r="AI49" s="8">
        <f t="shared" si="40"/>
        <v>0</v>
      </c>
      <c r="AJ49" s="8">
        <f t="shared" si="40"/>
        <v>0</v>
      </c>
      <c r="AK49" s="8">
        <f t="shared" si="40"/>
        <v>0</v>
      </c>
      <c r="AL49" s="8">
        <f t="shared" si="40"/>
        <v>0</v>
      </c>
      <c r="AM49" s="8">
        <f t="shared" si="40"/>
        <v>0</v>
      </c>
      <c r="AN49" s="8">
        <f t="shared" si="40"/>
        <v>0</v>
      </c>
      <c r="AO49" s="8">
        <f t="shared" si="40"/>
        <v>4.3333333333333339</v>
      </c>
      <c r="AP49" s="8">
        <f t="shared" si="40"/>
        <v>0</v>
      </c>
      <c r="AQ49" s="8">
        <f t="shared" si="40"/>
        <v>0</v>
      </c>
      <c r="AR49" s="8">
        <f t="shared" si="40"/>
        <v>0</v>
      </c>
      <c r="AS49" s="8">
        <f t="shared" si="40"/>
        <v>0</v>
      </c>
      <c r="AT49" s="8">
        <f t="shared" si="40"/>
        <v>0</v>
      </c>
      <c r="AU49" s="8" t="e">
        <f t="shared" si="40"/>
        <v>#DIV/0!</v>
      </c>
      <c r="AV49" s="8" t="e">
        <f t="shared" si="40"/>
        <v>#DIV/0!</v>
      </c>
      <c r="AW49" s="8" t="e">
        <f t="shared" si="40"/>
        <v>#DIV/0!</v>
      </c>
      <c r="AX49" s="8" t="e">
        <f t="shared" si="40"/>
        <v>#DIV/0!</v>
      </c>
      <c r="AY49" s="8" t="e">
        <f t="shared" si="40"/>
        <v>#DIV/0!</v>
      </c>
      <c r="AZ49" s="8" t="e">
        <f t="shared" si="40"/>
        <v>#DIV/0!</v>
      </c>
      <c r="BA49" s="8">
        <f t="shared" si="40"/>
        <v>-1.7307692307692313</v>
      </c>
      <c r="BB49" s="8">
        <f t="shared" si="40"/>
        <v>1.6666666666666665</v>
      </c>
      <c r="BC49" s="8">
        <f t="shared" si="40"/>
        <v>0.90909090909090851</v>
      </c>
      <c r="BD49" s="8">
        <f t="shared" si="40"/>
        <v>0</v>
      </c>
      <c r="BE49" s="8">
        <f t="shared" si="40"/>
        <v>0</v>
      </c>
      <c r="BF49" s="8">
        <f t="shared" si="40"/>
        <v>0</v>
      </c>
      <c r="BG49" s="8">
        <f t="shared" si="40"/>
        <v>3.5714285714285716</v>
      </c>
      <c r="BH49" s="8">
        <f t="shared" si="40"/>
        <v>1.815476190476192</v>
      </c>
      <c r="BI49" s="8">
        <f t="shared" si="40"/>
        <v>6.4102564102563611E-2</v>
      </c>
      <c r="BJ49" s="8">
        <f t="shared" si="40"/>
        <v>-0.17857142857142874</v>
      </c>
      <c r="BK49" s="8">
        <f t="shared" si="40"/>
        <v>-0.16666666666666502</v>
      </c>
      <c r="BL49" s="8">
        <f t="shared" si="40"/>
        <v>0</v>
      </c>
      <c r="BM49" s="8" t="e">
        <f t="shared" si="40"/>
        <v>#DIV/0!</v>
      </c>
      <c r="BN49" s="8">
        <f t="shared" si="40"/>
        <v>0.11904761904761726</v>
      </c>
      <c r="BO49" s="8">
        <f t="shared" ref="BO49:BX49" si="41" xml:space="preserve"> AVERAGE(BO38:BO47)</f>
        <v>-2.3577533577533591</v>
      </c>
      <c r="BP49" s="8">
        <f t="shared" si="41"/>
        <v>0</v>
      </c>
      <c r="BQ49" s="8">
        <f t="shared" si="41"/>
        <v>0</v>
      </c>
      <c r="BR49" s="8">
        <f t="shared" si="41"/>
        <v>0</v>
      </c>
      <c r="BS49" s="8">
        <f t="shared" si="41"/>
        <v>3.9662106448806831E-3</v>
      </c>
      <c r="BT49" s="8">
        <f t="shared" si="41"/>
        <v>-1.1793611793611805</v>
      </c>
      <c r="BU49" s="8">
        <f t="shared" si="41"/>
        <v>3.4082024501521494E-3</v>
      </c>
      <c r="BV49" s="8">
        <f t="shared" si="41"/>
        <v>0</v>
      </c>
      <c r="BW49" s="8">
        <f t="shared" si="41"/>
        <v>0</v>
      </c>
      <c r="BX49" s="8">
        <f t="shared" si="41"/>
        <v>0</v>
      </c>
      <c r="BY49" s="2"/>
      <c r="BZ49" s="2"/>
    </row>
    <row r="50" spans="1:78" x14ac:dyDescent="0.3">
      <c r="A50" s="1" t="s">
        <v>89</v>
      </c>
      <c r="B50" s="8">
        <f>_xlfn.STDEV.P(B38:B47)</f>
        <v>7.559458065579866E-2</v>
      </c>
      <c r="C50" s="8">
        <f t="shared" ref="C50:BN50" si="42">_xlfn.STDEV.P(C38:C47)</f>
        <v>1.0238095238095248</v>
      </c>
      <c r="D50" s="8">
        <f t="shared" si="42"/>
        <v>0.51245603556505392</v>
      </c>
      <c r="E50" s="8">
        <f t="shared" si="42"/>
        <v>1.6666666666666623</v>
      </c>
      <c r="F50" s="8" t="e">
        <f t="shared" si="42"/>
        <v>#DIV/0!</v>
      </c>
      <c r="G50" s="8" t="e">
        <f t="shared" si="42"/>
        <v>#DIV/0!</v>
      </c>
      <c r="H50" s="8" t="e">
        <f t="shared" si="42"/>
        <v>#DIV/0!</v>
      </c>
      <c r="I50" s="8" t="e">
        <f t="shared" si="42"/>
        <v>#DIV/0!</v>
      </c>
      <c r="J50" s="8" t="e">
        <f t="shared" si="42"/>
        <v>#DIV/0!</v>
      </c>
      <c r="K50" s="8" t="e">
        <f t="shared" si="42"/>
        <v>#DIV/0!</v>
      </c>
      <c r="L50" s="8">
        <f t="shared" si="42"/>
        <v>3.7274344764805387E-2</v>
      </c>
      <c r="M50" s="8">
        <f t="shared" si="42"/>
        <v>5.0582300494915203E-2</v>
      </c>
      <c r="N50" s="8">
        <f t="shared" si="42"/>
        <v>1.5903766437332909E-2</v>
      </c>
      <c r="O50" s="8">
        <f t="shared" si="42"/>
        <v>0</v>
      </c>
      <c r="P50" s="8">
        <f t="shared" si="42"/>
        <v>0</v>
      </c>
      <c r="Q50" s="8">
        <f t="shared" si="42"/>
        <v>0</v>
      </c>
      <c r="R50" s="8">
        <f t="shared" si="42"/>
        <v>1.0264656006337241</v>
      </c>
      <c r="S50" s="8">
        <f t="shared" si="42"/>
        <v>0</v>
      </c>
      <c r="T50" s="8">
        <f t="shared" si="42"/>
        <v>0</v>
      </c>
      <c r="U50" s="8">
        <f t="shared" si="42"/>
        <v>0</v>
      </c>
      <c r="V50" s="8">
        <f t="shared" si="42"/>
        <v>0</v>
      </c>
      <c r="W50" s="8">
        <f t="shared" si="42"/>
        <v>0</v>
      </c>
      <c r="X50" s="8">
        <f t="shared" si="42"/>
        <v>1.1538461538461511</v>
      </c>
      <c r="Y50" s="8">
        <f t="shared" si="42"/>
        <v>0</v>
      </c>
      <c r="Z50" s="8">
        <f t="shared" si="42"/>
        <v>0</v>
      </c>
      <c r="AA50" s="8">
        <f t="shared" si="42"/>
        <v>1.5000000000000013</v>
      </c>
      <c r="AB50" s="8">
        <f t="shared" si="42"/>
        <v>0</v>
      </c>
      <c r="AC50" s="8">
        <f t="shared" si="42"/>
        <v>0</v>
      </c>
      <c r="AD50" s="8">
        <f t="shared" si="42"/>
        <v>0</v>
      </c>
      <c r="AE50" s="8">
        <f t="shared" si="42"/>
        <v>0</v>
      </c>
      <c r="AF50" s="8">
        <f t="shared" si="42"/>
        <v>0</v>
      </c>
      <c r="AG50" s="8">
        <f t="shared" si="42"/>
        <v>4.9143741510310958E-2</v>
      </c>
      <c r="AH50" s="8">
        <f t="shared" si="42"/>
        <v>0.25000000000000022</v>
      </c>
      <c r="AI50" s="8">
        <f t="shared" si="42"/>
        <v>0</v>
      </c>
      <c r="AJ50" s="8">
        <f t="shared" si="42"/>
        <v>0</v>
      </c>
      <c r="AK50" s="8">
        <f t="shared" si="42"/>
        <v>0</v>
      </c>
      <c r="AL50" s="8">
        <f t="shared" si="42"/>
        <v>0</v>
      </c>
      <c r="AM50" s="8">
        <f t="shared" si="42"/>
        <v>0</v>
      </c>
      <c r="AN50" s="8">
        <f t="shared" si="42"/>
        <v>0</v>
      </c>
      <c r="AO50" s="8">
        <f t="shared" si="42"/>
        <v>10.115993936995679</v>
      </c>
      <c r="AP50" s="8">
        <f t="shared" si="42"/>
        <v>0</v>
      </c>
      <c r="AQ50" s="8">
        <f t="shared" si="42"/>
        <v>0</v>
      </c>
      <c r="AR50" s="8">
        <f t="shared" si="42"/>
        <v>0</v>
      </c>
      <c r="AS50" s="8">
        <f t="shared" si="42"/>
        <v>0</v>
      </c>
      <c r="AT50" s="8">
        <f t="shared" si="42"/>
        <v>0</v>
      </c>
      <c r="AU50" s="8" t="e">
        <f t="shared" si="42"/>
        <v>#DIV/0!</v>
      </c>
      <c r="AV50" s="8" t="e">
        <f t="shared" si="42"/>
        <v>#DIV/0!</v>
      </c>
      <c r="AW50" s="8" t="e">
        <f t="shared" si="42"/>
        <v>#DIV/0!</v>
      </c>
      <c r="AX50" s="8" t="e">
        <f t="shared" si="42"/>
        <v>#DIV/0!</v>
      </c>
      <c r="AY50" s="8" t="e">
        <f t="shared" si="42"/>
        <v>#DIV/0!</v>
      </c>
      <c r="AZ50" s="8" t="e">
        <f t="shared" si="42"/>
        <v>#DIV/0!</v>
      </c>
      <c r="BA50" s="8">
        <f t="shared" si="42"/>
        <v>8.0883618633896504</v>
      </c>
      <c r="BB50" s="8">
        <f t="shared" si="42"/>
        <v>5</v>
      </c>
      <c r="BC50" s="8">
        <f t="shared" si="42"/>
        <v>2.7272727272727253</v>
      </c>
      <c r="BD50" s="8">
        <f t="shared" si="42"/>
        <v>0</v>
      </c>
      <c r="BE50" s="8">
        <f t="shared" si="42"/>
        <v>0</v>
      </c>
      <c r="BF50" s="8">
        <f t="shared" si="42"/>
        <v>0</v>
      </c>
      <c r="BG50" s="8">
        <f t="shared" si="42"/>
        <v>11.517511068997928</v>
      </c>
      <c r="BH50" s="8">
        <f t="shared" si="42"/>
        <v>2.8248735749207836</v>
      </c>
      <c r="BI50" s="8">
        <f t="shared" si="42"/>
        <v>9.8076923076923084</v>
      </c>
      <c r="BJ50" s="8">
        <f t="shared" si="42"/>
        <v>0.53571428571428625</v>
      </c>
      <c r="BK50" s="8">
        <f t="shared" si="42"/>
        <v>4.112987559751021</v>
      </c>
      <c r="BL50" s="8">
        <f t="shared" si="42"/>
        <v>0</v>
      </c>
      <c r="BM50" s="8" t="e">
        <f t="shared" si="42"/>
        <v>#DIV/0!</v>
      </c>
      <c r="BN50" s="8">
        <f t="shared" si="42"/>
        <v>1.0046816588231833</v>
      </c>
      <c r="BO50" s="8">
        <f t="shared" ref="BO50:BX50" si="43">_xlfn.STDEV.P(BO38:BO47)</f>
        <v>10.190816546563328</v>
      </c>
      <c r="BP50" s="8">
        <f t="shared" si="43"/>
        <v>0</v>
      </c>
      <c r="BQ50" s="8">
        <f t="shared" si="43"/>
        <v>0</v>
      </c>
      <c r="BR50" s="8">
        <f t="shared" si="43"/>
        <v>0</v>
      </c>
      <c r="BS50" s="8">
        <f t="shared" si="43"/>
        <v>9.0013061103173406E-2</v>
      </c>
      <c r="BT50" s="8">
        <f t="shared" si="43"/>
        <v>2.7575406086679535</v>
      </c>
      <c r="BU50" s="8">
        <f t="shared" si="43"/>
        <v>2.0156576837360229E-2</v>
      </c>
      <c r="BV50" s="8">
        <f t="shared" si="43"/>
        <v>0</v>
      </c>
      <c r="BW50" s="8">
        <f t="shared" si="43"/>
        <v>0</v>
      </c>
      <c r="BX50" s="8">
        <f t="shared" si="43"/>
        <v>0</v>
      </c>
      <c r="BY50" s="2"/>
    </row>
    <row r="51" spans="1:78" x14ac:dyDescent="0.3">
      <c r="A51" s="1" t="s">
        <v>2</v>
      </c>
      <c r="B51">
        <v>97</v>
      </c>
      <c r="C51">
        <v>13</v>
      </c>
      <c r="D51">
        <v>300</v>
      </c>
      <c r="E51">
        <v>33</v>
      </c>
      <c r="F51">
        <v>14</v>
      </c>
      <c r="G51">
        <v>6</v>
      </c>
      <c r="H51">
        <v>6</v>
      </c>
      <c r="I51">
        <v>1</v>
      </c>
      <c r="J51">
        <v>2</v>
      </c>
      <c r="K51">
        <v>6</v>
      </c>
      <c r="L51">
        <v>53.332999999999998</v>
      </c>
      <c r="M51">
        <v>53.332999999999998</v>
      </c>
      <c r="N51">
        <v>53.332999999999998</v>
      </c>
      <c r="O51">
        <v>17</v>
      </c>
      <c r="P51">
        <v>17</v>
      </c>
      <c r="Q51">
        <v>5</v>
      </c>
      <c r="R51">
        <v>5</v>
      </c>
      <c r="S51">
        <v>5</v>
      </c>
      <c r="T51">
        <v>1</v>
      </c>
      <c r="U51">
        <v>5</v>
      </c>
      <c r="V51">
        <v>5</v>
      </c>
      <c r="W51">
        <v>1</v>
      </c>
      <c r="X51">
        <v>1</v>
      </c>
      <c r="Y51">
        <v>5</v>
      </c>
      <c r="Z51">
        <v>5</v>
      </c>
      <c r="AA51">
        <v>1</v>
      </c>
      <c r="AB51">
        <v>5</v>
      </c>
      <c r="AC51">
        <v>5</v>
      </c>
      <c r="AD51">
        <v>1</v>
      </c>
      <c r="AE51">
        <v>5</v>
      </c>
      <c r="AF51">
        <v>5</v>
      </c>
      <c r="AG51">
        <v>17</v>
      </c>
      <c r="AH51">
        <v>2</v>
      </c>
      <c r="AI51">
        <v>10</v>
      </c>
      <c r="AJ51">
        <v>6</v>
      </c>
      <c r="AK51">
        <v>1</v>
      </c>
      <c r="AL51">
        <v>1</v>
      </c>
      <c r="AM51">
        <v>5</v>
      </c>
      <c r="AN51">
        <v>1</v>
      </c>
      <c r="AO51">
        <v>14</v>
      </c>
      <c r="AP51">
        <v>6</v>
      </c>
      <c r="AQ51">
        <v>6</v>
      </c>
      <c r="AR51">
        <v>2</v>
      </c>
      <c r="AS51">
        <v>6</v>
      </c>
      <c r="AT51">
        <v>7</v>
      </c>
      <c r="AU51">
        <v>10</v>
      </c>
      <c r="AV51">
        <v>6</v>
      </c>
      <c r="AW51">
        <v>7</v>
      </c>
      <c r="AX51">
        <v>2</v>
      </c>
      <c r="AY51">
        <v>2</v>
      </c>
      <c r="AZ51">
        <v>7</v>
      </c>
      <c r="BA51">
        <v>3</v>
      </c>
      <c r="BB51">
        <v>3</v>
      </c>
      <c r="BC51">
        <v>7</v>
      </c>
      <c r="BD51">
        <v>7</v>
      </c>
      <c r="BE51">
        <v>3</v>
      </c>
      <c r="BF51">
        <v>7</v>
      </c>
      <c r="BG51">
        <v>73</v>
      </c>
      <c r="BH51">
        <v>4</v>
      </c>
      <c r="BI51">
        <v>10</v>
      </c>
      <c r="BJ51">
        <v>10</v>
      </c>
      <c r="BK51">
        <v>6</v>
      </c>
      <c r="BL51">
        <v>8</v>
      </c>
      <c r="BM51">
        <v>631</v>
      </c>
      <c r="BN51">
        <v>393</v>
      </c>
      <c r="BO51">
        <v>397</v>
      </c>
      <c r="BP51">
        <v>389</v>
      </c>
      <c r="BQ51">
        <v>396</v>
      </c>
      <c r="BR51">
        <v>389</v>
      </c>
      <c r="BS51">
        <v>423</v>
      </c>
      <c r="BT51">
        <v>408</v>
      </c>
      <c r="BU51">
        <v>400</v>
      </c>
      <c r="BV51">
        <v>412</v>
      </c>
      <c r="BW51">
        <v>400</v>
      </c>
      <c r="BX51">
        <v>400</v>
      </c>
    </row>
    <row r="52" spans="1:78" ht="13.8" customHeight="1" x14ac:dyDescent="0.3">
      <c r="A52" s="2"/>
      <c r="B52">
        <v>97</v>
      </c>
      <c r="C52">
        <v>13</v>
      </c>
      <c r="D52">
        <v>298</v>
      </c>
      <c r="E52">
        <v>34</v>
      </c>
      <c r="F52">
        <v>13</v>
      </c>
      <c r="G52">
        <v>6</v>
      </c>
      <c r="H52">
        <v>6</v>
      </c>
      <c r="I52">
        <v>2</v>
      </c>
      <c r="J52">
        <v>2</v>
      </c>
      <c r="K52">
        <v>6</v>
      </c>
      <c r="L52">
        <v>53.667000000000002</v>
      </c>
      <c r="M52">
        <v>53.667000000000002</v>
      </c>
      <c r="N52">
        <v>53.667000000000002</v>
      </c>
      <c r="O52">
        <v>17</v>
      </c>
      <c r="P52">
        <v>17</v>
      </c>
      <c r="Q52">
        <v>5</v>
      </c>
      <c r="R52">
        <v>5</v>
      </c>
      <c r="S52">
        <v>5</v>
      </c>
      <c r="T52">
        <v>2</v>
      </c>
      <c r="U52">
        <v>5</v>
      </c>
      <c r="V52">
        <v>5</v>
      </c>
      <c r="W52">
        <v>1</v>
      </c>
      <c r="X52">
        <v>1</v>
      </c>
      <c r="Y52">
        <v>5</v>
      </c>
      <c r="Z52">
        <v>5</v>
      </c>
      <c r="AA52">
        <v>1</v>
      </c>
      <c r="AB52">
        <v>5</v>
      </c>
      <c r="AC52">
        <v>5</v>
      </c>
      <c r="AD52">
        <v>1</v>
      </c>
      <c r="AE52">
        <v>5</v>
      </c>
      <c r="AF52">
        <v>5</v>
      </c>
      <c r="AG52">
        <v>18</v>
      </c>
      <c r="AH52">
        <v>2</v>
      </c>
      <c r="AI52">
        <v>9</v>
      </c>
      <c r="AJ52">
        <v>5</v>
      </c>
      <c r="AK52">
        <v>1</v>
      </c>
      <c r="AL52">
        <v>1</v>
      </c>
      <c r="AM52">
        <v>6</v>
      </c>
      <c r="AN52">
        <v>2</v>
      </c>
      <c r="AO52">
        <v>14</v>
      </c>
      <c r="AP52">
        <v>6</v>
      </c>
      <c r="AQ52">
        <v>6</v>
      </c>
      <c r="AR52">
        <v>2</v>
      </c>
      <c r="AS52">
        <v>6</v>
      </c>
      <c r="AT52">
        <v>6</v>
      </c>
      <c r="AU52">
        <v>10</v>
      </c>
      <c r="AV52">
        <v>6</v>
      </c>
      <c r="AW52">
        <v>6</v>
      </c>
      <c r="AX52">
        <v>2</v>
      </c>
      <c r="AY52">
        <v>2</v>
      </c>
      <c r="AZ52">
        <v>6</v>
      </c>
      <c r="BA52">
        <v>3</v>
      </c>
      <c r="BB52">
        <v>3</v>
      </c>
      <c r="BC52">
        <v>7</v>
      </c>
      <c r="BD52">
        <v>7</v>
      </c>
      <c r="BE52">
        <v>3</v>
      </c>
      <c r="BF52">
        <v>6</v>
      </c>
      <c r="BG52">
        <v>73</v>
      </c>
      <c r="BH52">
        <v>9</v>
      </c>
      <c r="BI52">
        <v>10</v>
      </c>
      <c r="BJ52">
        <v>12</v>
      </c>
      <c r="BK52">
        <v>7</v>
      </c>
      <c r="BL52">
        <v>5</v>
      </c>
      <c r="BM52">
        <v>628</v>
      </c>
      <c r="BN52">
        <v>393</v>
      </c>
      <c r="BO52">
        <v>397</v>
      </c>
      <c r="BP52">
        <v>389</v>
      </c>
      <c r="BQ52">
        <v>397</v>
      </c>
      <c r="BR52">
        <v>389</v>
      </c>
      <c r="BS52">
        <v>423</v>
      </c>
      <c r="BT52">
        <v>408</v>
      </c>
      <c r="BU52">
        <v>400</v>
      </c>
      <c r="BV52">
        <v>412</v>
      </c>
      <c r="BW52">
        <v>400</v>
      </c>
      <c r="BX52">
        <v>400</v>
      </c>
    </row>
    <row r="53" spans="1:78" ht="13.8" customHeight="1" x14ac:dyDescent="0.3">
      <c r="A53" s="2"/>
      <c r="B53">
        <v>97</v>
      </c>
      <c r="C53">
        <v>14</v>
      </c>
      <c r="D53">
        <v>299</v>
      </c>
      <c r="E53">
        <v>36</v>
      </c>
      <c r="F53">
        <v>14</v>
      </c>
      <c r="G53">
        <v>5</v>
      </c>
      <c r="H53">
        <v>6</v>
      </c>
      <c r="I53">
        <v>2</v>
      </c>
      <c r="J53">
        <v>2</v>
      </c>
      <c r="K53">
        <v>6</v>
      </c>
      <c r="L53">
        <v>53.332999999999998</v>
      </c>
      <c r="M53">
        <v>53.332999999999998</v>
      </c>
      <c r="N53">
        <v>53.332999999999998</v>
      </c>
      <c r="O53">
        <v>17</v>
      </c>
      <c r="P53">
        <v>17</v>
      </c>
      <c r="Q53">
        <v>5</v>
      </c>
      <c r="R53">
        <v>5</v>
      </c>
      <c r="S53">
        <v>5</v>
      </c>
      <c r="T53">
        <v>1</v>
      </c>
      <c r="U53">
        <v>5</v>
      </c>
      <c r="V53">
        <v>5</v>
      </c>
      <c r="W53">
        <v>1</v>
      </c>
      <c r="X53">
        <v>2</v>
      </c>
      <c r="Y53">
        <v>5</v>
      </c>
      <c r="Z53">
        <v>5</v>
      </c>
      <c r="AA53">
        <v>2</v>
      </c>
      <c r="AB53">
        <v>5</v>
      </c>
      <c r="AC53">
        <v>5</v>
      </c>
      <c r="AD53">
        <v>2</v>
      </c>
      <c r="AE53">
        <v>5</v>
      </c>
      <c r="AF53">
        <v>5</v>
      </c>
      <c r="AG53">
        <v>18</v>
      </c>
      <c r="AH53">
        <v>1</v>
      </c>
      <c r="AI53">
        <v>9</v>
      </c>
      <c r="AJ53">
        <v>6</v>
      </c>
      <c r="AK53">
        <v>2</v>
      </c>
      <c r="AL53">
        <v>2</v>
      </c>
      <c r="AM53">
        <v>6</v>
      </c>
      <c r="AN53">
        <v>2</v>
      </c>
      <c r="AO53">
        <v>14</v>
      </c>
      <c r="AP53">
        <v>6</v>
      </c>
      <c r="AQ53">
        <v>6</v>
      </c>
      <c r="AR53">
        <v>2</v>
      </c>
      <c r="AS53">
        <v>6</v>
      </c>
      <c r="AT53">
        <v>6</v>
      </c>
      <c r="AU53">
        <v>10</v>
      </c>
      <c r="AV53">
        <v>6</v>
      </c>
      <c r="AW53">
        <v>6</v>
      </c>
      <c r="AX53">
        <v>2</v>
      </c>
      <c r="AY53">
        <v>2</v>
      </c>
      <c r="AZ53">
        <v>6</v>
      </c>
      <c r="BA53">
        <v>2</v>
      </c>
      <c r="BB53">
        <v>2</v>
      </c>
      <c r="BC53">
        <v>6</v>
      </c>
      <c r="BD53">
        <v>6</v>
      </c>
      <c r="BE53">
        <v>2</v>
      </c>
      <c r="BF53">
        <v>6</v>
      </c>
      <c r="BG53">
        <v>73</v>
      </c>
      <c r="BH53">
        <v>5</v>
      </c>
      <c r="BI53">
        <v>9</v>
      </c>
      <c r="BJ53">
        <v>12</v>
      </c>
      <c r="BK53">
        <v>5</v>
      </c>
      <c r="BL53">
        <v>5</v>
      </c>
      <c r="BM53">
        <v>629</v>
      </c>
      <c r="BN53">
        <v>393</v>
      </c>
      <c r="BO53">
        <v>397</v>
      </c>
      <c r="BP53">
        <v>389</v>
      </c>
      <c r="BQ53">
        <v>398</v>
      </c>
      <c r="BR53">
        <v>389</v>
      </c>
      <c r="BS53">
        <v>423</v>
      </c>
      <c r="BT53">
        <v>408</v>
      </c>
      <c r="BU53">
        <v>400</v>
      </c>
      <c r="BV53">
        <v>412</v>
      </c>
      <c r="BW53">
        <v>400</v>
      </c>
      <c r="BX53">
        <v>400</v>
      </c>
    </row>
    <row r="54" spans="1:78" x14ac:dyDescent="0.3">
      <c r="A54" s="2"/>
      <c r="B54">
        <v>97</v>
      </c>
      <c r="C54">
        <v>14</v>
      </c>
      <c r="D54">
        <v>299</v>
      </c>
      <c r="E54">
        <v>34</v>
      </c>
      <c r="F54">
        <v>13</v>
      </c>
      <c r="G54">
        <v>6</v>
      </c>
      <c r="H54">
        <v>6</v>
      </c>
      <c r="I54">
        <v>2</v>
      </c>
      <c r="J54">
        <v>2</v>
      </c>
      <c r="K54">
        <v>6</v>
      </c>
      <c r="L54">
        <v>53.667000000000002</v>
      </c>
      <c r="M54">
        <v>53.667000000000002</v>
      </c>
      <c r="N54">
        <v>53.667000000000002</v>
      </c>
      <c r="O54">
        <v>17</v>
      </c>
      <c r="P54">
        <v>17</v>
      </c>
      <c r="Q54">
        <v>5</v>
      </c>
      <c r="R54">
        <v>5</v>
      </c>
      <c r="S54">
        <v>5</v>
      </c>
      <c r="T54">
        <v>1</v>
      </c>
      <c r="U54">
        <v>5</v>
      </c>
      <c r="V54">
        <v>5</v>
      </c>
      <c r="W54">
        <v>1</v>
      </c>
      <c r="X54">
        <v>1</v>
      </c>
      <c r="Y54">
        <v>5</v>
      </c>
      <c r="Z54">
        <v>5</v>
      </c>
      <c r="AA54">
        <v>1</v>
      </c>
      <c r="AB54">
        <v>5</v>
      </c>
      <c r="AC54">
        <v>5</v>
      </c>
      <c r="AD54">
        <v>1</v>
      </c>
      <c r="AE54">
        <v>5</v>
      </c>
      <c r="AF54">
        <v>5</v>
      </c>
      <c r="AG54">
        <v>17</v>
      </c>
      <c r="AH54">
        <v>2</v>
      </c>
      <c r="AI54">
        <v>10</v>
      </c>
      <c r="AJ54">
        <v>6</v>
      </c>
      <c r="AK54">
        <v>2</v>
      </c>
      <c r="AL54">
        <v>1</v>
      </c>
      <c r="AM54">
        <v>5</v>
      </c>
      <c r="AN54">
        <v>1</v>
      </c>
      <c r="AO54">
        <v>14</v>
      </c>
      <c r="AP54">
        <v>6</v>
      </c>
      <c r="AQ54">
        <v>6</v>
      </c>
      <c r="AR54">
        <v>2</v>
      </c>
      <c r="AS54">
        <v>6</v>
      </c>
      <c r="AT54">
        <v>6</v>
      </c>
      <c r="AU54">
        <v>10</v>
      </c>
      <c r="AV54">
        <v>6</v>
      </c>
      <c r="AW54">
        <v>7</v>
      </c>
      <c r="AX54">
        <v>2</v>
      </c>
      <c r="AY54">
        <v>2</v>
      </c>
      <c r="AZ54">
        <v>6</v>
      </c>
      <c r="BA54">
        <v>3</v>
      </c>
      <c r="BB54">
        <v>3</v>
      </c>
      <c r="BC54">
        <v>7</v>
      </c>
      <c r="BD54">
        <v>7</v>
      </c>
      <c r="BE54">
        <v>3</v>
      </c>
      <c r="BF54">
        <v>7</v>
      </c>
      <c r="BG54">
        <v>73</v>
      </c>
      <c r="BH54">
        <v>6</v>
      </c>
      <c r="BI54">
        <v>10</v>
      </c>
      <c r="BJ54">
        <v>10</v>
      </c>
      <c r="BK54">
        <v>6</v>
      </c>
      <c r="BL54">
        <v>10</v>
      </c>
      <c r="BM54">
        <v>630</v>
      </c>
      <c r="BN54">
        <v>393</v>
      </c>
      <c r="BO54">
        <v>397</v>
      </c>
      <c r="BP54">
        <v>389</v>
      </c>
      <c r="BQ54">
        <v>397</v>
      </c>
      <c r="BR54">
        <v>389</v>
      </c>
      <c r="BS54">
        <v>423</v>
      </c>
      <c r="BT54">
        <v>408</v>
      </c>
      <c r="BU54">
        <v>400</v>
      </c>
      <c r="BV54">
        <v>412</v>
      </c>
      <c r="BW54">
        <v>400</v>
      </c>
      <c r="BX54">
        <v>400</v>
      </c>
    </row>
    <row r="55" spans="1:78" x14ac:dyDescent="0.3">
      <c r="A55" s="2"/>
      <c r="B55">
        <v>98</v>
      </c>
      <c r="C55">
        <v>13</v>
      </c>
      <c r="D55">
        <v>298</v>
      </c>
      <c r="E55">
        <v>33</v>
      </c>
      <c r="F55">
        <v>13</v>
      </c>
      <c r="G55">
        <v>6</v>
      </c>
      <c r="H55">
        <v>6</v>
      </c>
      <c r="I55">
        <v>1</v>
      </c>
      <c r="J55">
        <v>2</v>
      </c>
      <c r="K55">
        <v>6</v>
      </c>
      <c r="L55">
        <v>53.332999999999998</v>
      </c>
      <c r="M55">
        <v>53.332999999999998</v>
      </c>
      <c r="N55">
        <v>53.332999999999998</v>
      </c>
      <c r="O55">
        <v>18</v>
      </c>
      <c r="P55">
        <v>17</v>
      </c>
      <c r="Q55">
        <v>5</v>
      </c>
      <c r="R55">
        <v>5</v>
      </c>
      <c r="S55">
        <v>5</v>
      </c>
      <c r="T55">
        <v>1</v>
      </c>
      <c r="U55">
        <v>5</v>
      </c>
      <c r="V55">
        <v>5</v>
      </c>
      <c r="W55">
        <v>1</v>
      </c>
      <c r="X55">
        <v>1</v>
      </c>
      <c r="Y55">
        <v>5</v>
      </c>
      <c r="Z55">
        <v>5</v>
      </c>
      <c r="AA55">
        <v>1</v>
      </c>
      <c r="AB55">
        <v>5</v>
      </c>
      <c r="AC55">
        <v>5</v>
      </c>
      <c r="AD55">
        <v>1</v>
      </c>
      <c r="AE55">
        <v>5</v>
      </c>
      <c r="AF55">
        <v>5</v>
      </c>
      <c r="AG55">
        <v>18</v>
      </c>
      <c r="AH55">
        <v>2</v>
      </c>
      <c r="AI55">
        <v>9</v>
      </c>
      <c r="AJ55">
        <v>5</v>
      </c>
      <c r="AK55">
        <v>1</v>
      </c>
      <c r="AL55">
        <v>1</v>
      </c>
      <c r="AM55">
        <v>6</v>
      </c>
      <c r="AN55">
        <v>2</v>
      </c>
      <c r="AO55">
        <v>14</v>
      </c>
      <c r="AP55">
        <v>6</v>
      </c>
      <c r="AQ55">
        <v>6</v>
      </c>
      <c r="AR55">
        <v>2</v>
      </c>
      <c r="AS55">
        <v>6</v>
      </c>
      <c r="AT55">
        <v>6</v>
      </c>
      <c r="AU55">
        <v>10</v>
      </c>
      <c r="AV55">
        <v>6</v>
      </c>
      <c r="AW55">
        <v>6</v>
      </c>
      <c r="AX55">
        <v>2</v>
      </c>
      <c r="AY55">
        <v>2</v>
      </c>
      <c r="AZ55">
        <v>6</v>
      </c>
      <c r="BA55">
        <v>3</v>
      </c>
      <c r="BB55">
        <v>3</v>
      </c>
      <c r="BC55">
        <v>7</v>
      </c>
      <c r="BD55">
        <v>7</v>
      </c>
      <c r="BE55">
        <v>3</v>
      </c>
      <c r="BF55">
        <v>6</v>
      </c>
      <c r="BG55">
        <v>72</v>
      </c>
      <c r="BH55">
        <v>8</v>
      </c>
      <c r="BI55">
        <v>11</v>
      </c>
      <c r="BJ55">
        <v>12</v>
      </c>
      <c r="BK55">
        <v>6</v>
      </c>
      <c r="BL55">
        <v>5</v>
      </c>
      <c r="BM55">
        <v>628</v>
      </c>
      <c r="BN55">
        <v>393</v>
      </c>
      <c r="BO55">
        <v>397</v>
      </c>
      <c r="BP55">
        <v>388</v>
      </c>
      <c r="BQ55">
        <v>397</v>
      </c>
      <c r="BR55">
        <v>388</v>
      </c>
      <c r="BS55">
        <v>424</v>
      </c>
      <c r="BT55">
        <v>408</v>
      </c>
      <c r="BU55">
        <v>400</v>
      </c>
      <c r="BV55">
        <v>412</v>
      </c>
      <c r="BW55">
        <v>400</v>
      </c>
      <c r="BX55">
        <v>400</v>
      </c>
    </row>
    <row r="56" spans="1:78" x14ac:dyDescent="0.3">
      <c r="A56" s="2"/>
      <c r="B56">
        <v>97</v>
      </c>
      <c r="C56">
        <v>13</v>
      </c>
      <c r="D56">
        <v>299</v>
      </c>
      <c r="E56">
        <v>34</v>
      </c>
      <c r="F56">
        <v>14</v>
      </c>
      <c r="G56">
        <v>6</v>
      </c>
      <c r="H56">
        <v>5</v>
      </c>
      <c r="I56">
        <v>2</v>
      </c>
      <c r="J56">
        <v>2</v>
      </c>
      <c r="K56">
        <v>5</v>
      </c>
      <c r="L56">
        <v>53.332999999999998</v>
      </c>
      <c r="M56">
        <v>53.332999999999998</v>
      </c>
      <c r="N56">
        <v>53.332999999999998</v>
      </c>
      <c r="O56">
        <v>17</v>
      </c>
      <c r="P56">
        <v>17</v>
      </c>
      <c r="Q56">
        <v>5</v>
      </c>
      <c r="R56">
        <v>6</v>
      </c>
      <c r="S56">
        <v>5</v>
      </c>
      <c r="T56">
        <v>1</v>
      </c>
      <c r="U56">
        <v>6</v>
      </c>
      <c r="V56">
        <v>5</v>
      </c>
      <c r="W56">
        <v>1</v>
      </c>
      <c r="X56">
        <v>2</v>
      </c>
      <c r="Y56">
        <v>5</v>
      </c>
      <c r="Z56">
        <v>5</v>
      </c>
      <c r="AA56">
        <v>1</v>
      </c>
      <c r="AB56">
        <v>5</v>
      </c>
      <c r="AC56">
        <v>5</v>
      </c>
      <c r="AD56">
        <v>1</v>
      </c>
      <c r="AE56">
        <v>5</v>
      </c>
      <c r="AF56">
        <v>5</v>
      </c>
      <c r="AG56">
        <v>18</v>
      </c>
      <c r="AH56">
        <v>2</v>
      </c>
      <c r="AI56">
        <v>9</v>
      </c>
      <c r="AJ56">
        <v>5</v>
      </c>
      <c r="AK56">
        <v>2</v>
      </c>
      <c r="AL56">
        <v>2</v>
      </c>
      <c r="AM56">
        <v>6</v>
      </c>
      <c r="AN56">
        <v>2</v>
      </c>
      <c r="AO56">
        <v>14</v>
      </c>
      <c r="AP56">
        <v>6</v>
      </c>
      <c r="AQ56">
        <v>6</v>
      </c>
      <c r="AR56">
        <v>3</v>
      </c>
      <c r="AS56">
        <v>6</v>
      </c>
      <c r="AT56">
        <v>6</v>
      </c>
      <c r="AU56">
        <v>10</v>
      </c>
      <c r="AV56">
        <v>6</v>
      </c>
      <c r="AW56">
        <v>6</v>
      </c>
      <c r="AX56">
        <v>3</v>
      </c>
      <c r="AY56">
        <v>2</v>
      </c>
      <c r="AZ56">
        <v>6</v>
      </c>
      <c r="BA56">
        <v>2</v>
      </c>
      <c r="BB56">
        <v>2</v>
      </c>
      <c r="BC56">
        <v>6</v>
      </c>
      <c r="BD56">
        <v>6</v>
      </c>
      <c r="BE56">
        <v>2</v>
      </c>
      <c r="BF56">
        <v>6</v>
      </c>
      <c r="BG56">
        <v>73</v>
      </c>
      <c r="BH56">
        <v>5</v>
      </c>
      <c r="BI56">
        <v>10</v>
      </c>
      <c r="BJ56">
        <v>13</v>
      </c>
      <c r="BK56">
        <v>8</v>
      </c>
      <c r="BL56">
        <v>5</v>
      </c>
      <c r="BM56">
        <v>628</v>
      </c>
      <c r="BN56">
        <v>393</v>
      </c>
      <c r="BO56">
        <v>396</v>
      </c>
      <c r="BP56">
        <v>388</v>
      </c>
      <c r="BQ56">
        <v>397</v>
      </c>
      <c r="BR56">
        <v>389</v>
      </c>
      <c r="BS56">
        <v>424</v>
      </c>
      <c r="BT56">
        <v>407</v>
      </c>
      <c r="BU56">
        <v>400</v>
      </c>
      <c r="BV56">
        <v>412</v>
      </c>
      <c r="BW56">
        <v>400</v>
      </c>
      <c r="BX56">
        <v>400</v>
      </c>
    </row>
    <row r="57" spans="1:78" x14ac:dyDescent="0.3">
      <c r="A57" s="2"/>
      <c r="B57">
        <v>97</v>
      </c>
      <c r="C57">
        <v>13</v>
      </c>
      <c r="D57">
        <v>298</v>
      </c>
      <c r="E57">
        <v>34</v>
      </c>
      <c r="F57">
        <v>14</v>
      </c>
      <c r="G57">
        <v>6</v>
      </c>
      <c r="H57">
        <v>5</v>
      </c>
      <c r="I57">
        <v>2</v>
      </c>
      <c r="J57">
        <v>2</v>
      </c>
      <c r="K57">
        <v>6</v>
      </c>
      <c r="L57">
        <v>53.332999999999998</v>
      </c>
      <c r="M57">
        <v>53.332999999999998</v>
      </c>
      <c r="N57">
        <v>53.332999999999998</v>
      </c>
      <c r="O57">
        <v>17</v>
      </c>
      <c r="P57">
        <v>17</v>
      </c>
      <c r="Q57">
        <v>5</v>
      </c>
      <c r="R57">
        <v>6</v>
      </c>
      <c r="S57">
        <v>5</v>
      </c>
      <c r="T57">
        <v>1</v>
      </c>
      <c r="U57">
        <v>5</v>
      </c>
      <c r="V57">
        <v>5</v>
      </c>
      <c r="W57">
        <v>1</v>
      </c>
      <c r="X57">
        <v>1</v>
      </c>
      <c r="Y57">
        <v>5</v>
      </c>
      <c r="Z57">
        <v>5</v>
      </c>
      <c r="AA57">
        <v>1</v>
      </c>
      <c r="AB57">
        <v>5</v>
      </c>
      <c r="AC57">
        <v>5</v>
      </c>
      <c r="AD57">
        <v>1</v>
      </c>
      <c r="AE57">
        <v>5</v>
      </c>
      <c r="AF57">
        <v>5</v>
      </c>
      <c r="AG57">
        <v>18</v>
      </c>
      <c r="AH57">
        <v>2</v>
      </c>
      <c r="AI57">
        <v>9</v>
      </c>
      <c r="AJ57">
        <v>5</v>
      </c>
      <c r="AK57">
        <v>1</v>
      </c>
      <c r="AL57">
        <v>2</v>
      </c>
      <c r="AM57">
        <v>6</v>
      </c>
      <c r="AN57">
        <v>2</v>
      </c>
      <c r="AO57">
        <v>14</v>
      </c>
      <c r="AP57">
        <v>6</v>
      </c>
      <c r="AQ57">
        <v>6</v>
      </c>
      <c r="AR57">
        <v>3</v>
      </c>
      <c r="AS57">
        <v>6</v>
      </c>
      <c r="AT57">
        <v>6</v>
      </c>
      <c r="AU57">
        <v>10</v>
      </c>
      <c r="AV57">
        <v>6</v>
      </c>
      <c r="AW57">
        <v>6</v>
      </c>
      <c r="AX57">
        <v>3</v>
      </c>
      <c r="AY57">
        <v>2</v>
      </c>
      <c r="AZ57">
        <v>6</v>
      </c>
      <c r="BA57">
        <v>3</v>
      </c>
      <c r="BB57">
        <v>2</v>
      </c>
      <c r="BC57">
        <v>6</v>
      </c>
      <c r="BD57">
        <v>6</v>
      </c>
      <c r="BE57">
        <v>2</v>
      </c>
      <c r="BF57">
        <v>6</v>
      </c>
      <c r="BG57">
        <v>73</v>
      </c>
      <c r="BH57">
        <v>6</v>
      </c>
      <c r="BI57">
        <v>11</v>
      </c>
      <c r="BJ57">
        <v>10</v>
      </c>
      <c r="BK57">
        <v>6</v>
      </c>
      <c r="BL57">
        <v>6</v>
      </c>
      <c r="BM57">
        <v>629</v>
      </c>
      <c r="BN57">
        <v>393</v>
      </c>
      <c r="BO57">
        <v>397</v>
      </c>
      <c r="BP57">
        <v>388</v>
      </c>
      <c r="BQ57">
        <v>397</v>
      </c>
      <c r="BR57">
        <v>388</v>
      </c>
      <c r="BS57">
        <v>424</v>
      </c>
      <c r="BT57">
        <v>408</v>
      </c>
      <c r="BU57">
        <v>401</v>
      </c>
      <c r="BV57">
        <v>412</v>
      </c>
      <c r="BW57">
        <v>400</v>
      </c>
      <c r="BX57">
        <v>400</v>
      </c>
    </row>
    <row r="58" spans="1:78" x14ac:dyDescent="0.3">
      <c r="A58" s="2"/>
      <c r="B58">
        <v>97</v>
      </c>
      <c r="C58">
        <v>13</v>
      </c>
      <c r="D58">
        <v>298</v>
      </c>
      <c r="E58">
        <v>33</v>
      </c>
      <c r="F58">
        <v>13</v>
      </c>
      <c r="G58">
        <v>6</v>
      </c>
      <c r="H58">
        <v>6</v>
      </c>
      <c r="I58">
        <v>1</v>
      </c>
      <c r="J58">
        <v>2</v>
      </c>
      <c r="K58">
        <v>6</v>
      </c>
      <c r="L58">
        <v>53.667000000000002</v>
      </c>
      <c r="M58">
        <v>53.667000000000002</v>
      </c>
      <c r="N58">
        <v>53.667000000000002</v>
      </c>
      <c r="O58">
        <v>17</v>
      </c>
      <c r="P58">
        <v>17</v>
      </c>
      <c r="Q58">
        <v>5</v>
      </c>
      <c r="R58">
        <v>5</v>
      </c>
      <c r="S58">
        <v>5</v>
      </c>
      <c r="T58">
        <v>1</v>
      </c>
      <c r="U58">
        <v>5</v>
      </c>
      <c r="V58">
        <v>5</v>
      </c>
      <c r="W58">
        <v>1</v>
      </c>
      <c r="X58">
        <v>1</v>
      </c>
      <c r="Y58">
        <v>5</v>
      </c>
      <c r="Z58">
        <v>5</v>
      </c>
      <c r="AA58">
        <v>1</v>
      </c>
      <c r="AB58">
        <v>5</v>
      </c>
      <c r="AC58">
        <v>5</v>
      </c>
      <c r="AD58">
        <v>1</v>
      </c>
      <c r="AE58">
        <v>5</v>
      </c>
      <c r="AF58">
        <v>5</v>
      </c>
      <c r="AG58">
        <v>17</v>
      </c>
      <c r="AH58">
        <v>2</v>
      </c>
      <c r="AI58">
        <v>10</v>
      </c>
      <c r="AJ58">
        <v>6</v>
      </c>
      <c r="AK58">
        <v>1</v>
      </c>
      <c r="AL58">
        <v>1</v>
      </c>
      <c r="AM58">
        <v>5</v>
      </c>
      <c r="AN58">
        <v>2</v>
      </c>
      <c r="AO58">
        <v>14</v>
      </c>
      <c r="AP58">
        <v>6</v>
      </c>
      <c r="AQ58">
        <v>6</v>
      </c>
      <c r="AR58">
        <v>2</v>
      </c>
      <c r="AS58">
        <v>6</v>
      </c>
      <c r="AT58">
        <v>7</v>
      </c>
      <c r="AU58">
        <v>10</v>
      </c>
      <c r="AV58">
        <v>6</v>
      </c>
      <c r="AW58">
        <v>7</v>
      </c>
      <c r="AX58">
        <v>2</v>
      </c>
      <c r="AY58">
        <v>2</v>
      </c>
      <c r="AZ58">
        <v>7</v>
      </c>
      <c r="BA58">
        <v>3</v>
      </c>
      <c r="BB58">
        <v>3</v>
      </c>
      <c r="BC58">
        <v>7</v>
      </c>
      <c r="BD58">
        <v>7</v>
      </c>
      <c r="BE58">
        <v>3</v>
      </c>
      <c r="BF58">
        <v>7</v>
      </c>
      <c r="BG58">
        <v>75</v>
      </c>
      <c r="BH58">
        <v>6</v>
      </c>
      <c r="BI58">
        <v>10</v>
      </c>
      <c r="BJ58">
        <v>11</v>
      </c>
      <c r="BK58">
        <v>8</v>
      </c>
      <c r="BL58">
        <v>5</v>
      </c>
      <c r="BM58">
        <v>630</v>
      </c>
      <c r="BN58">
        <v>393</v>
      </c>
      <c r="BO58">
        <v>397</v>
      </c>
      <c r="BP58">
        <v>389</v>
      </c>
      <c r="BQ58">
        <v>397</v>
      </c>
      <c r="BR58">
        <v>389</v>
      </c>
      <c r="BS58">
        <v>424</v>
      </c>
      <c r="BT58">
        <v>408</v>
      </c>
      <c r="BU58">
        <v>401</v>
      </c>
      <c r="BV58">
        <v>412</v>
      </c>
      <c r="BW58">
        <v>400</v>
      </c>
      <c r="BX58">
        <v>400</v>
      </c>
    </row>
    <row r="59" spans="1:78" x14ac:dyDescent="0.3">
      <c r="A59" s="2"/>
      <c r="B59">
        <v>97</v>
      </c>
      <c r="C59">
        <v>14</v>
      </c>
      <c r="D59">
        <v>297</v>
      </c>
      <c r="E59">
        <v>33</v>
      </c>
      <c r="F59">
        <v>14</v>
      </c>
      <c r="G59">
        <v>6</v>
      </c>
      <c r="H59">
        <v>6</v>
      </c>
      <c r="I59">
        <v>1</v>
      </c>
      <c r="J59">
        <v>2</v>
      </c>
      <c r="K59">
        <v>6</v>
      </c>
      <c r="L59">
        <v>53.332999999999998</v>
      </c>
      <c r="M59">
        <v>53.332999999999998</v>
      </c>
      <c r="N59">
        <v>53.332999999999998</v>
      </c>
      <c r="O59">
        <v>18</v>
      </c>
      <c r="P59">
        <v>17</v>
      </c>
      <c r="Q59">
        <v>5</v>
      </c>
      <c r="R59">
        <v>5</v>
      </c>
      <c r="S59">
        <v>5</v>
      </c>
      <c r="T59">
        <v>2</v>
      </c>
      <c r="U59">
        <v>5</v>
      </c>
      <c r="V59">
        <v>5</v>
      </c>
      <c r="W59">
        <v>2</v>
      </c>
      <c r="X59">
        <v>1</v>
      </c>
      <c r="Y59">
        <v>5</v>
      </c>
      <c r="Z59">
        <v>5</v>
      </c>
      <c r="AA59">
        <v>1</v>
      </c>
      <c r="AB59">
        <v>5</v>
      </c>
      <c r="AC59">
        <v>5</v>
      </c>
      <c r="AD59">
        <v>1</v>
      </c>
      <c r="AE59">
        <v>5</v>
      </c>
      <c r="AF59">
        <v>5</v>
      </c>
      <c r="AG59">
        <v>18</v>
      </c>
      <c r="AH59">
        <v>2</v>
      </c>
      <c r="AI59">
        <v>9</v>
      </c>
      <c r="AJ59">
        <v>5</v>
      </c>
      <c r="AK59">
        <v>1</v>
      </c>
      <c r="AL59">
        <v>1</v>
      </c>
      <c r="AM59">
        <v>6</v>
      </c>
      <c r="AN59">
        <v>2</v>
      </c>
      <c r="AO59">
        <v>14</v>
      </c>
      <c r="AP59">
        <v>6</v>
      </c>
      <c r="AQ59">
        <v>6</v>
      </c>
      <c r="AR59">
        <v>2</v>
      </c>
      <c r="AS59">
        <v>6</v>
      </c>
      <c r="AT59">
        <v>6</v>
      </c>
      <c r="AU59">
        <v>10</v>
      </c>
      <c r="AV59">
        <v>6</v>
      </c>
      <c r="AW59">
        <v>6</v>
      </c>
      <c r="AX59">
        <v>3</v>
      </c>
      <c r="AY59">
        <v>2</v>
      </c>
      <c r="AZ59">
        <v>6</v>
      </c>
      <c r="BA59">
        <v>3</v>
      </c>
      <c r="BB59">
        <v>3</v>
      </c>
      <c r="BC59">
        <v>6</v>
      </c>
      <c r="BD59">
        <v>6</v>
      </c>
      <c r="BE59">
        <v>2</v>
      </c>
      <c r="BF59">
        <v>6</v>
      </c>
      <c r="BG59">
        <v>74</v>
      </c>
      <c r="BH59">
        <v>5</v>
      </c>
      <c r="BI59">
        <v>9</v>
      </c>
      <c r="BJ59">
        <v>10</v>
      </c>
      <c r="BK59">
        <v>4</v>
      </c>
      <c r="BL59">
        <v>8</v>
      </c>
      <c r="BM59">
        <v>629</v>
      </c>
      <c r="BN59">
        <v>393</v>
      </c>
      <c r="BO59">
        <v>397</v>
      </c>
      <c r="BP59">
        <v>389</v>
      </c>
      <c r="BQ59">
        <v>397</v>
      </c>
      <c r="BR59">
        <v>389</v>
      </c>
      <c r="BS59">
        <v>424</v>
      </c>
      <c r="BT59">
        <v>408</v>
      </c>
      <c r="BU59">
        <v>400</v>
      </c>
      <c r="BV59">
        <v>412</v>
      </c>
      <c r="BW59">
        <v>400</v>
      </c>
      <c r="BX59">
        <v>400</v>
      </c>
    </row>
    <row r="60" spans="1:78" x14ac:dyDescent="0.3">
      <c r="A60" s="2"/>
      <c r="B60">
        <v>97</v>
      </c>
      <c r="C60">
        <v>13</v>
      </c>
      <c r="D60">
        <v>297</v>
      </c>
      <c r="E60">
        <v>34</v>
      </c>
      <c r="F60">
        <v>14</v>
      </c>
      <c r="G60">
        <v>6</v>
      </c>
      <c r="H60">
        <v>5</v>
      </c>
      <c r="I60">
        <v>2</v>
      </c>
      <c r="J60">
        <v>2</v>
      </c>
      <c r="K60">
        <v>5</v>
      </c>
      <c r="L60">
        <v>53.332999999999998</v>
      </c>
      <c r="M60">
        <v>53.332999999999998</v>
      </c>
      <c r="N60">
        <v>53.332999999999998</v>
      </c>
      <c r="O60">
        <v>17</v>
      </c>
      <c r="P60">
        <v>17</v>
      </c>
      <c r="Q60">
        <v>5</v>
      </c>
      <c r="R60">
        <v>6</v>
      </c>
      <c r="S60">
        <v>5</v>
      </c>
      <c r="T60">
        <v>1</v>
      </c>
      <c r="U60">
        <v>6</v>
      </c>
      <c r="V60">
        <v>5</v>
      </c>
      <c r="W60">
        <v>1</v>
      </c>
      <c r="X60">
        <v>2</v>
      </c>
      <c r="Y60">
        <v>5</v>
      </c>
      <c r="Z60">
        <v>5</v>
      </c>
      <c r="AA60">
        <v>1</v>
      </c>
      <c r="AB60">
        <v>5</v>
      </c>
      <c r="AC60">
        <v>5</v>
      </c>
      <c r="AD60">
        <v>1</v>
      </c>
      <c r="AE60">
        <v>5</v>
      </c>
      <c r="AF60">
        <v>5</v>
      </c>
      <c r="AG60">
        <v>18</v>
      </c>
      <c r="AH60">
        <v>2</v>
      </c>
      <c r="AI60">
        <v>9</v>
      </c>
      <c r="AJ60">
        <v>5</v>
      </c>
      <c r="AK60">
        <v>2</v>
      </c>
      <c r="AL60">
        <v>2</v>
      </c>
      <c r="AM60">
        <v>6</v>
      </c>
      <c r="AN60">
        <v>2</v>
      </c>
      <c r="AO60">
        <v>14</v>
      </c>
      <c r="AP60">
        <v>6</v>
      </c>
      <c r="AQ60">
        <v>6</v>
      </c>
      <c r="AR60">
        <v>2</v>
      </c>
      <c r="AS60">
        <v>6</v>
      </c>
      <c r="AT60">
        <v>6</v>
      </c>
      <c r="AU60">
        <v>10</v>
      </c>
      <c r="AV60">
        <v>6</v>
      </c>
      <c r="AW60">
        <v>6</v>
      </c>
      <c r="AX60">
        <v>2</v>
      </c>
      <c r="AY60">
        <v>2</v>
      </c>
      <c r="AZ60">
        <v>6</v>
      </c>
      <c r="BA60">
        <v>2</v>
      </c>
      <c r="BB60">
        <v>2</v>
      </c>
      <c r="BC60">
        <v>6</v>
      </c>
      <c r="BD60">
        <v>6</v>
      </c>
      <c r="BE60">
        <v>2</v>
      </c>
      <c r="BF60">
        <v>6</v>
      </c>
      <c r="BG60">
        <v>75</v>
      </c>
      <c r="BH60">
        <v>7</v>
      </c>
      <c r="BI60">
        <v>10</v>
      </c>
      <c r="BJ60">
        <v>10</v>
      </c>
      <c r="BK60">
        <v>7</v>
      </c>
      <c r="BL60">
        <v>5</v>
      </c>
      <c r="BM60">
        <v>630</v>
      </c>
      <c r="BN60">
        <v>392</v>
      </c>
      <c r="BO60">
        <v>396</v>
      </c>
      <c r="BP60">
        <v>388</v>
      </c>
      <c r="BQ60">
        <v>396</v>
      </c>
      <c r="BR60">
        <v>389</v>
      </c>
      <c r="BS60">
        <v>424</v>
      </c>
      <c r="BT60">
        <v>407</v>
      </c>
      <c r="BU60">
        <v>400</v>
      </c>
      <c r="BV60">
        <v>411</v>
      </c>
      <c r="BW60">
        <v>400</v>
      </c>
      <c r="BX60">
        <v>400</v>
      </c>
    </row>
    <row r="61" spans="1:7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</row>
    <row r="62" spans="1:78" x14ac:dyDescent="0.3">
      <c r="A62" s="1" t="s">
        <v>78</v>
      </c>
      <c r="B62" s="2">
        <f>SUM(B51:BX51)</f>
        <v>6028.9989999999998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</row>
    <row r="63" spans="1:78" x14ac:dyDescent="0.3">
      <c r="A63" s="2"/>
      <c r="B63" s="2">
        <f t="shared" ref="B63:B71" si="44">SUM(B52:BX52)</f>
        <v>6030.0010000000002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</row>
    <row r="64" spans="1:78" x14ac:dyDescent="0.3">
      <c r="A64" s="2"/>
      <c r="B64" s="2">
        <f t="shared" si="44"/>
        <v>6026.9989999999998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</row>
    <row r="65" spans="1:75" x14ac:dyDescent="0.3">
      <c r="A65" s="2"/>
      <c r="B65" s="2">
        <f t="shared" si="44"/>
        <v>6034.0010000000002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</row>
    <row r="66" spans="1:75" x14ac:dyDescent="0.3">
      <c r="A66" s="2"/>
      <c r="B66" s="2">
        <f t="shared" si="44"/>
        <v>6024.9989999999998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</row>
    <row r="67" spans="1:75" x14ac:dyDescent="0.3">
      <c r="A67" s="2"/>
      <c r="B67" s="2">
        <f t="shared" si="44"/>
        <v>6025.9989999999998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</row>
    <row r="68" spans="1:75" x14ac:dyDescent="0.3">
      <c r="A68" s="2"/>
      <c r="B68" s="2">
        <f t="shared" si="44"/>
        <v>6024.9989999999998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</row>
    <row r="69" spans="1:75" x14ac:dyDescent="0.3">
      <c r="A69" s="2"/>
      <c r="B69" s="2">
        <f t="shared" si="44"/>
        <v>6034.0010000000002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</row>
    <row r="70" spans="1:75" x14ac:dyDescent="0.3">
      <c r="A70" s="2"/>
      <c r="B70" s="2">
        <f t="shared" si="44"/>
        <v>6023.9989999999998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</row>
    <row r="71" spans="1:75" x14ac:dyDescent="0.3">
      <c r="A71" s="2"/>
      <c r="B71" s="2">
        <f t="shared" si="44"/>
        <v>6020.9989999999998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</row>
    <row r="72" spans="1:7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</row>
    <row r="73" spans="1:75" x14ac:dyDescent="0.3">
      <c r="A73" s="1" t="s">
        <v>86</v>
      </c>
      <c r="B73" s="3">
        <f>AVERAGE(B62:B71)/1000</f>
        <v>6.0274996000000005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</row>
    <row r="74" spans="1:7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</row>
    <row r="75" spans="1:75" ht="28.8" x14ac:dyDescent="0.3">
      <c r="A75" s="7" t="s">
        <v>83</v>
      </c>
      <c r="B75" s="2">
        <f>B73/(C76*103)</f>
        <v>5.8519413592233015E-3</v>
      </c>
      <c r="C75" s="2" t="s">
        <v>79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</row>
    <row r="76" spans="1:75" ht="28.8" x14ac:dyDescent="0.3">
      <c r="A76" s="7" t="s">
        <v>80</v>
      </c>
      <c r="B76" s="5" t="s">
        <v>81</v>
      </c>
      <c r="C76" s="2">
        <v>10</v>
      </c>
      <c r="D76" s="2" t="s">
        <v>82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</row>
    <row r="77" spans="1:75" x14ac:dyDescent="0.3">
      <c r="A77" s="7"/>
      <c r="B77" s="4">
        <f>B75</f>
        <v>5.8519413592233015E-3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</row>
    <row r="78" spans="1:75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</row>
    <row r="79" spans="1:7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75" x14ac:dyDescent="0.3">
      <c r="A80" s="6"/>
      <c r="B80" s="6"/>
      <c r="C80" s="6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7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</row>
    <row r="82" spans="1:7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</row>
    <row r="83" spans="1:7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</row>
    <row r="84" spans="1:7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</row>
    <row r="85" spans="1:7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</row>
    <row r="86" spans="1:7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</row>
    <row r="87" spans="1:7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</row>
    <row r="88" spans="1:7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</row>
    <row r="89" spans="1:7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</row>
    <row r="90" spans="1:7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</row>
    <row r="91" spans="1:7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</row>
    <row r="92" spans="1:7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</row>
    <row r="93" spans="1:7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</row>
    <row r="94" spans="1:7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</row>
    <row r="95" spans="1:7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</row>
    <row r="96" spans="1:7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</row>
    <row r="97" spans="1:7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</row>
    <row r="98" spans="1:7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</row>
    <row r="99" spans="1:7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</row>
    <row r="100" spans="1:7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</row>
    <row r="101" spans="1:7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</row>
    <row r="102" spans="1:7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</row>
    <row r="103" spans="1:7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</row>
    <row r="104" spans="1:7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</row>
    <row r="105" spans="1:7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</row>
    <row r="106" spans="1:7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</row>
    <row r="107" spans="1:7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</row>
    <row r="108" spans="1:7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</row>
    <row r="109" spans="1:7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</row>
    <row r="110" spans="1:7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</row>
    <row r="111" spans="1:7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</row>
    <row r="112" spans="1:7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</row>
    <row r="113" spans="1:7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</row>
    <row r="114" spans="1:7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</row>
    <row r="115" spans="1:7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</row>
    <row r="116" spans="1:7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</row>
    <row r="117" spans="1:7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</row>
    <row r="118" spans="1:7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</row>
    <row r="119" spans="1:7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</row>
    <row r="120" spans="1:7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</row>
    <row r="121" spans="1:7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</row>
    <row r="122" spans="1:7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</row>
    <row r="123" spans="1:7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</row>
    <row r="124" spans="1:7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</row>
    <row r="125" spans="1:7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</row>
    <row r="126" spans="1:7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</row>
    <row r="127" spans="1:7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</row>
    <row r="128" spans="1:7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</row>
    <row r="129" spans="1:7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</row>
    <row r="130" spans="1:7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</row>
    <row r="131" spans="1:7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</row>
    <row r="132" spans="1:7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</row>
    <row r="133" spans="1:7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</row>
    <row r="134" spans="1:7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</row>
    <row r="135" spans="1:7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</row>
    <row r="136" spans="1:7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</row>
    <row r="137" spans="1:7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</row>
    <row r="138" spans="1:7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</row>
    <row r="139" spans="1:7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</row>
    <row r="140" spans="1:7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</row>
    <row r="141" spans="1:7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</row>
    <row r="142" spans="1:7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</row>
    <row r="143" spans="1:7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</row>
    <row r="144" spans="1:7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</row>
    <row r="145" spans="1:7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</row>
    <row r="146" spans="1:7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</row>
    <row r="147" spans="1:7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</row>
    <row r="148" spans="1:7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</row>
    <row r="149" spans="1:7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</row>
    <row r="150" spans="1:7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</row>
    <row r="151" spans="1:7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</row>
    <row r="152" spans="1:7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</row>
    <row r="153" spans="1:7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</row>
    <row r="154" spans="1:7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</row>
    <row r="155" spans="1:7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7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7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7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7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7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ΑΧΙΛΛΙΟΣ ΠΙΤΣΙΛΚΑΣ</dc:creator>
  <cp:lastModifiedBy>Axilleas Pitsilkas</cp:lastModifiedBy>
  <dcterms:created xsi:type="dcterms:W3CDTF">2025-09-01T15:06:50Z</dcterms:created>
  <dcterms:modified xsi:type="dcterms:W3CDTF">2026-03-04T09:51:52Z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2026-02-07T22:28:52Z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813895cf-57ca-4fcd-ae33-b858dbf916e4</vt:lpwstr>
  </property>
  <property fmtid="{D5CDD505-2E9C-101B-9397-08002B2CF9AE}" pid="7" name="MSIP_Label_defa4170-0d19-0005-0004-bc88714345d2_ActionId">
    <vt:lpwstr>9dd40003-ec8f-4ae4-a468-5cbf187bbdd7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