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zn350-my.sharepoint.com/personal/axilpits_ns824g_onmicrosoft_com/Documents/PlatformIO/PlatformIO/Projects/bad-spine-wearable-1/Compare ESP vs PC/"/>
    </mc:Choice>
  </mc:AlternateContent>
  <xr:revisionPtr revIDLastSave="686" documentId="8_{DA152AAD-698B-4200-8D27-5C498757663A}" xr6:coauthVersionLast="47" xr6:coauthVersionMax="47" xr10:uidLastSave="{26CCBDB7-7294-41F6-B8A3-49C018D0FD51}"/>
  <bookViews>
    <workbookView xWindow="1500" yWindow="1500" windowWidth="17280" windowHeight="8880" xr2:uid="{AF1CF56E-226D-47E3-8298-81B44335BC6E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D3" i="1" l="1" a="1"/>
  <c r="DD3" i="1" s="1"/>
  <c r="CW3" i="1"/>
  <c r="BS3" i="1" l="1" a="1"/>
  <c r="BS3" i="1" s="1"/>
  <c r="BW8" i="1" a="1"/>
  <c r="BW8" i="1" s="1"/>
  <c r="T3" i="1"/>
  <c r="C17" i="1"/>
  <c r="O3" i="1"/>
  <c r="B17" i="1"/>
  <c r="N3" i="1"/>
  <c r="C16" i="1"/>
  <c r="I3" i="1"/>
  <c r="AU4" i="1"/>
  <c r="AU5" i="1"/>
  <c r="AU6" i="1"/>
  <c r="AU7" i="1"/>
  <c r="AU8" i="1"/>
  <c r="AW8" i="1" s="1"/>
  <c r="AU9" i="1"/>
  <c r="AU10" i="1"/>
  <c r="AW10" i="1" s="1"/>
  <c r="AU11" i="1"/>
  <c r="AW11" i="1" s="1"/>
  <c r="AU12" i="1"/>
  <c r="AW5" i="1"/>
  <c r="AW7" i="1"/>
  <c r="AU3" i="1"/>
  <c r="AW3" i="1" s="1"/>
  <c r="AO4" i="1"/>
  <c r="AO5" i="1"/>
  <c r="AO6" i="1"/>
  <c r="AO7" i="1"/>
  <c r="AO8" i="1"/>
  <c r="AO9" i="1"/>
  <c r="AQ9" i="1" s="1"/>
  <c r="AO10" i="1"/>
  <c r="AQ10" i="1" s="1"/>
  <c r="AO11" i="1"/>
  <c r="AQ11" i="1" s="1"/>
  <c r="AO12" i="1"/>
  <c r="AO3" i="1"/>
  <c r="AQ3" i="1" s="1"/>
  <c r="AI4" i="1"/>
  <c r="AI5" i="1"/>
  <c r="AK5" i="1" s="1"/>
  <c r="AI6" i="1"/>
  <c r="AI7" i="1"/>
  <c r="AK7" i="1" s="1"/>
  <c r="AI8" i="1"/>
  <c r="AI9" i="1"/>
  <c r="AI10" i="1"/>
  <c r="AK10" i="1" s="1"/>
  <c r="AI11" i="1"/>
  <c r="AK11" i="1" s="1"/>
  <c r="AI12" i="1"/>
  <c r="AI3" i="1"/>
  <c r="AK3" i="1" s="1"/>
  <c r="B16" i="1"/>
  <c r="CU3" i="1"/>
  <c r="CT3" i="1"/>
  <c r="Q3" i="1"/>
  <c r="Q4" i="1"/>
  <c r="Q5" i="1"/>
  <c r="S5" i="1" s="1"/>
  <c r="Q6" i="1"/>
  <c r="Q7" i="1"/>
  <c r="S7" i="1" s="1"/>
  <c r="Q8" i="1"/>
  <c r="Q9" i="1"/>
  <c r="Q10" i="1"/>
  <c r="S10" i="1" s="1"/>
  <c r="Q11" i="1"/>
  <c r="Q12" i="1"/>
  <c r="DD4" i="1" a="1"/>
  <c r="DD4" i="1" s="1"/>
  <c r="DF4" i="1" s="1"/>
  <c r="DD5" i="1" a="1"/>
  <c r="DD5" i="1" s="1"/>
  <c r="DF5" i="1" s="1"/>
  <c r="DD6" i="1" a="1"/>
  <c r="DD6" i="1" s="1"/>
  <c r="DF6" i="1" s="1"/>
  <c r="DD7" i="1" a="1"/>
  <c r="DD7" i="1" s="1"/>
  <c r="DF7" i="1" s="1"/>
  <c r="DD8" i="1" a="1"/>
  <c r="DD8" i="1" s="1"/>
  <c r="DF8" i="1" s="1"/>
  <c r="DD9" i="1" a="1"/>
  <c r="DD9" i="1" s="1"/>
  <c r="DF9" i="1" s="1"/>
  <c r="DD10" i="1" a="1"/>
  <c r="DD10" i="1" s="1"/>
  <c r="DF10" i="1" s="1"/>
  <c r="DD11" i="1" a="1"/>
  <c r="DD11" i="1" s="1"/>
  <c r="DF11" i="1" s="1"/>
  <c r="DD12" i="1" a="1"/>
  <c r="DD12" i="1" s="1"/>
  <c r="DF12" i="1" s="1"/>
  <c r="AW4" i="1"/>
  <c r="AW6" i="1"/>
  <c r="AW9" i="1"/>
  <c r="AW12" i="1"/>
  <c r="AQ4" i="1"/>
  <c r="AQ5" i="1"/>
  <c r="AQ6" i="1"/>
  <c r="AQ7" i="1"/>
  <c r="AQ8" i="1"/>
  <c r="AQ12" i="1"/>
  <c r="AK4" i="1"/>
  <c r="AK6" i="1"/>
  <c r="AK8" i="1"/>
  <c r="AK9" i="1"/>
  <c r="AK12" i="1"/>
  <c r="S9" i="1"/>
  <c r="S11" i="1"/>
  <c r="S3" i="1"/>
  <c r="W4" i="1"/>
  <c r="Y4" i="1" s="1"/>
  <c r="W5" i="1"/>
  <c r="Y5" i="1" s="1"/>
  <c r="W6" i="1"/>
  <c r="W7" i="1"/>
  <c r="Y7" i="1" s="1"/>
  <c r="W8" i="1"/>
  <c r="Y8" i="1" s="1"/>
  <c r="W9" i="1"/>
  <c r="Y9" i="1" s="1"/>
  <c r="W10" i="1"/>
  <c r="Y10" i="1" s="1"/>
  <c r="W11" i="1"/>
  <c r="Y11" i="1" s="1"/>
  <c r="W12" i="1"/>
  <c r="Y12" i="1" s="1"/>
  <c r="W3" i="1"/>
  <c r="Y3" i="1" s="1"/>
  <c r="AC4" i="1"/>
  <c r="AE4" i="1" s="1"/>
  <c r="AC5" i="1"/>
  <c r="AC6" i="1"/>
  <c r="AE6" i="1" s="1"/>
  <c r="AC7" i="1"/>
  <c r="AE7" i="1" s="1"/>
  <c r="AC8" i="1"/>
  <c r="AE8" i="1" s="1"/>
  <c r="AC9" i="1"/>
  <c r="AE9" i="1" s="1"/>
  <c r="AC10" i="1"/>
  <c r="AE10" i="1" s="1"/>
  <c r="AC11" i="1"/>
  <c r="AE11" i="1" s="1"/>
  <c r="AC12" i="1"/>
  <c r="AC3" i="1"/>
  <c r="AE3" i="1" s="1"/>
  <c r="AE5" i="1"/>
  <c r="AE12" i="1"/>
  <c r="S4" i="1"/>
  <c r="S12" i="1"/>
  <c r="S6" i="1"/>
  <c r="S8" i="1"/>
  <c r="Y6" i="1"/>
  <c r="AX3" i="1" l="1"/>
  <c r="AY3" i="1"/>
  <c r="AS3" i="1"/>
  <c r="AM3" i="1"/>
  <c r="AL3" i="1"/>
  <c r="AA3" i="1"/>
  <c r="AR3" i="1"/>
  <c r="U3" i="1"/>
  <c r="AG3" i="1"/>
  <c r="Z3" i="1"/>
  <c r="AF3" i="1"/>
  <c r="DJ3" i="1" a="1"/>
  <c r="DJ3" i="1" s="1"/>
  <c r="DF3" i="1"/>
  <c r="CQ3" i="1"/>
  <c r="CK3" i="1"/>
  <c r="BY3" i="1" a="1"/>
  <c r="BY3" i="1" s="1"/>
  <c r="CE3" i="1" a="1"/>
  <c r="CE3" i="1" s="1"/>
  <c r="DG3" i="1" l="1"/>
  <c r="DH3" i="1"/>
  <c r="CY3" i="1"/>
  <c r="DL3" i="1"/>
  <c r="CS3" i="1"/>
  <c r="CM3" i="1"/>
  <c r="CA3" i="1"/>
  <c r="BU3" i="1"/>
  <c r="BM3" i="1"/>
  <c r="BO3" i="1" s="1"/>
  <c r="BG3" i="1"/>
  <c r="BI3" i="1" s="1"/>
  <c r="BA3" i="1"/>
  <c r="BC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3" i="1"/>
  <c r="G3" i="1" s="1"/>
  <c r="K3" i="1"/>
  <c r="M3" i="1" s="1"/>
  <c r="K4" i="1"/>
  <c r="M4" i="1" s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M11" i="1" s="1"/>
  <c r="K12" i="1"/>
  <c r="M12" i="1" s="1"/>
  <c r="DM3" i="1" l="1"/>
  <c r="DN3" i="1"/>
  <c r="DA3" i="1"/>
  <c r="CZ3" i="1"/>
  <c r="BJ3" i="1"/>
  <c r="BK3" i="1"/>
  <c r="CB3" i="1"/>
  <c r="CC3" i="1"/>
  <c r="BD3" i="1"/>
  <c r="BE3" i="1"/>
  <c r="BW3" i="1"/>
  <c r="BV3" i="1"/>
  <c r="CO3" i="1"/>
  <c r="CN3" i="1"/>
  <c r="BP3" i="1"/>
  <c r="BQ3" i="1"/>
  <c r="H3" i="1"/>
  <c r="CG3" i="1"/>
  <c r="CH3" i="1" l="1"/>
  <c r="CI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<sst xmlns="http://schemas.openxmlformats.org/spreadsheetml/2006/main" count="140" uniqueCount="31">
  <si>
    <t>acceleration_x_window_mean</t>
  </si>
  <si>
    <t>acceleration_x_window_max</t>
  </si>
  <si>
    <t>acceleration_x_window_min</t>
  </si>
  <si>
    <t>Signal Magnitude Area Accelerometer</t>
  </si>
  <si>
    <t>RMS_acceleration x</t>
  </si>
  <si>
    <t>MAD_acceleration x</t>
  </si>
  <si>
    <t>VAR_acceleration x</t>
  </si>
  <si>
    <t>STD_acceleration x</t>
  </si>
  <si>
    <t>IQR_acceleration x</t>
  </si>
  <si>
    <t>FFT_acceleration x</t>
  </si>
  <si>
    <t>ENERGY_acceleration x</t>
  </si>
  <si>
    <t>PC</t>
  </si>
  <si>
    <t>Excel - Hand</t>
  </si>
  <si>
    <t>diff</t>
  </si>
  <si>
    <t>Acceleration Sum Vector Magnitude (SVM_a)</t>
  </si>
  <si>
    <t>Acceleration Cubic Product Magnitude (CM_a)</t>
  </si>
  <si>
    <t>jerk x</t>
  </si>
  <si>
    <t>jerk y</t>
  </si>
  <si>
    <t>jerk z</t>
  </si>
  <si>
    <t>acceleration x (g)</t>
  </si>
  <si>
    <t>acceleration y (g)</t>
  </si>
  <si>
    <t>acceleration z (g)</t>
  </si>
  <si>
    <t>theta x</t>
  </si>
  <si>
    <t>theta y</t>
  </si>
  <si>
    <t>mean diff</t>
  </si>
  <si>
    <t>Std diff</t>
  </si>
  <si>
    <t xml:space="preserve">    </t>
  </si>
  <si>
    <t>Feature Name</t>
  </si>
  <si>
    <t>SVM_a</t>
  </si>
  <si>
    <t>CM_a</t>
  </si>
  <si>
    <t>theta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</si>
</sst>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(* #,##0.000_);_(* \(#,##0.000\);_(* &quot;-&quot;??_);_(@_)"/>
    <numFmt numFmtId="165" formatCode="0.0000000000000"/>
    <numFmt numFmtId="166" formatCode="0.000000000"/>
    <numFmt numFmtId="167" formatCode="0.00000"/>
    <numFmt numFmtId="168" formatCode="0.0000000"/>
    <numFmt numFmtId="169" formatCode="0.0000"/>
    <numFmt numFmtId="170" formatCode="0.000000"/>
    <numFmt numFmtId="171" formatCode="0.00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70" fontId="0" fillId="0" borderId="0" xfId="1" applyNumberFormat="1" applyFon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Κανονικό" xfId="0" builtinId="0"/>
    <cellStyle name="Κόμμα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DF56-D6F9-4C29-BC0A-4AFB4EF6E6A1}">
  <dimension ref="A1:DN34"/>
  <sheetViews>
    <sheetView tabSelected="1" topLeftCell="A16" workbookViewId="0">
      <selection activeCell="DD4" sqref="DD4"/>
    </sheetView>
  </sheetViews>
  <sheetFormatPr defaultRowHeight="14.4" x14ac:dyDescent="0.3"/>
  <cols>
    <col min="1" max="1" width="27.77734375" style="1" customWidth="1"/>
    <col min="2" max="2" width="11.109375" style="1" customWidth="1"/>
    <col min="3" max="3" width="9.33203125" style="1" customWidth="1"/>
    <col min="4" max="4" width="8.88671875" style="1"/>
    <col min="5" max="5" width="15.77734375" style="1" customWidth="1"/>
    <col min="6" max="6" width="10.33203125" style="1" customWidth="1"/>
    <col min="7" max="7" width="8.88671875" style="1" customWidth="1"/>
    <col min="8" max="8" width="10.33203125" style="1" customWidth="1"/>
    <col min="9" max="9" width="7.88671875" style="1" customWidth="1"/>
    <col min="10" max="10" width="13.21875" style="1" customWidth="1"/>
    <col min="11" max="11" width="12.109375" style="1" customWidth="1"/>
    <col min="12" max="12" width="8.88671875" style="1"/>
    <col min="13" max="13" width="10.5546875" style="1" customWidth="1"/>
    <col min="14" max="14" width="9" style="1" customWidth="1"/>
    <col min="15" max="15" width="7.88671875" style="1" customWidth="1"/>
    <col min="16" max="16" width="7.33203125" style="1" customWidth="1"/>
    <col min="17" max="17" width="11.33203125" style="1" customWidth="1"/>
    <col min="18" max="18" width="8.88671875" style="1"/>
    <col min="19" max="19" width="9.109375" style="1" customWidth="1"/>
    <col min="20" max="20" width="9.33203125" style="1" customWidth="1"/>
    <col min="21" max="21" width="8" style="1" customWidth="1"/>
    <col min="22" max="22" width="8.88671875" style="1"/>
    <col min="23" max="23" width="10.21875" style="1" bestFit="1" customWidth="1"/>
    <col min="24" max="24" width="8.88671875" style="1"/>
    <col min="25" max="25" width="12.33203125" style="1" customWidth="1"/>
    <col min="26" max="26" width="12.44140625" style="1" customWidth="1"/>
    <col min="27" max="27" width="11.33203125" style="1" customWidth="1"/>
    <col min="28" max="28" width="8.88671875" style="1"/>
    <col min="29" max="29" width="12.44140625" style="1" customWidth="1"/>
    <col min="30" max="30" width="8.88671875" style="1"/>
    <col min="31" max="31" width="10.33203125" style="1" customWidth="1"/>
    <col min="32" max="32" width="8.6640625" style="1" customWidth="1"/>
    <col min="33" max="33" width="9.77734375" style="1" customWidth="1"/>
    <col min="34" max="34" width="8.88671875" style="1"/>
    <col min="35" max="35" width="12" style="1" bestFit="1" customWidth="1"/>
    <col min="36" max="36" width="8.88671875" style="1"/>
    <col min="37" max="37" width="12.6640625" style="1" customWidth="1"/>
    <col min="38" max="38" width="13.33203125" style="1" customWidth="1"/>
    <col min="39" max="39" width="10.44140625" style="1" customWidth="1"/>
    <col min="40" max="40" width="8.88671875" style="1"/>
    <col min="41" max="41" width="11.6640625" style="1" customWidth="1"/>
    <col min="42" max="42" width="8.88671875" style="1"/>
    <col min="43" max="43" width="9.5546875" style="1" customWidth="1"/>
    <col min="44" max="44" width="8.33203125" style="1" customWidth="1"/>
    <col min="45" max="45" width="9.21875" style="1" customWidth="1"/>
    <col min="46" max="46" width="7.88671875" style="1" customWidth="1"/>
    <col min="47" max="47" width="11.109375" style="1" customWidth="1"/>
    <col min="48" max="48" width="8.88671875" style="1"/>
    <col min="49" max="49" width="9.33203125" style="1" customWidth="1"/>
    <col min="50" max="51" width="8.109375" style="1" customWidth="1"/>
    <col min="52" max="52" width="8.88671875" style="1"/>
    <col min="53" max="53" width="16.88671875" style="1" customWidth="1"/>
    <col min="54" max="55" width="8.88671875" style="1"/>
    <col min="56" max="56" width="14.109375" style="1" customWidth="1"/>
    <col min="57" max="57" width="8.5546875" style="1" customWidth="1"/>
    <col min="58" max="58" width="8.88671875" style="1"/>
    <col min="59" max="59" width="12.109375" style="1" customWidth="1"/>
    <col min="60" max="60" width="8.88671875" style="1"/>
    <col min="61" max="61" width="12" style="1" customWidth="1"/>
    <col min="62" max="62" width="9.109375" style="1" customWidth="1"/>
    <col min="63" max="63" width="11.109375" style="1" customWidth="1"/>
    <col min="64" max="64" width="8.88671875" style="1"/>
    <col min="65" max="65" width="10" style="1" customWidth="1"/>
    <col min="66" max="68" width="8.88671875" style="1"/>
    <col min="69" max="69" width="10.5546875" style="1" customWidth="1"/>
    <col min="70" max="70" width="8.88671875" style="1"/>
    <col min="71" max="71" width="12.44140625" style="1" customWidth="1"/>
    <col min="72" max="72" width="11.109375" style="1" customWidth="1"/>
    <col min="73" max="73" width="10.88671875" style="1" customWidth="1"/>
    <col min="74" max="74" width="8.88671875" style="1"/>
    <col min="75" max="75" width="14.109375" style="1" customWidth="1"/>
    <col min="76" max="76" width="8.88671875" style="1"/>
    <col min="77" max="77" width="12.109375" style="1" customWidth="1"/>
    <col min="78" max="79" width="8.88671875" style="1"/>
    <col min="80" max="80" width="8.88671875" style="1" customWidth="1"/>
    <col min="81" max="82" width="8.88671875" style="1"/>
    <col min="83" max="83" width="13.44140625" style="1" customWidth="1"/>
    <col min="84" max="84" width="11.77734375" style="1" customWidth="1"/>
    <col min="85" max="85" width="12.33203125" style="1" customWidth="1"/>
    <col min="86" max="86" width="13.6640625" style="1" customWidth="1"/>
    <col min="87" max="88" width="8.88671875" style="1"/>
    <col min="89" max="89" width="12.88671875" style="1" customWidth="1"/>
    <col min="90" max="90" width="8.88671875" style="1"/>
    <col min="91" max="91" width="13.44140625" style="1" customWidth="1"/>
    <col min="92" max="92" width="14" style="1" customWidth="1"/>
    <col min="93" max="94" width="8.88671875" style="1"/>
    <col min="95" max="95" width="15.33203125" style="1" customWidth="1"/>
    <col min="96" max="96" width="13.33203125" style="1" customWidth="1"/>
    <col min="97" max="97" width="11.88671875" style="1" customWidth="1"/>
    <col min="98" max="98" width="14.44140625" style="1" customWidth="1"/>
    <col min="99" max="100" width="8.88671875" style="1"/>
    <col min="101" max="101" width="10.77734375" style="1" customWidth="1"/>
    <col min="102" max="103" width="8.88671875" style="1"/>
    <col min="104" max="104" width="14.77734375" style="1" customWidth="1"/>
    <col min="105" max="105" width="7.6640625" style="1" customWidth="1"/>
    <col min="106" max="106" width="8.88671875" style="1"/>
    <col min="107" max="107" width="7.21875" style="1" customWidth="1"/>
    <col min="108" max="108" width="11" style="1" customWidth="1"/>
    <col min="109" max="109" width="8.88671875" style="1"/>
    <col min="110" max="110" width="10.21875" style="1" customWidth="1"/>
    <col min="111" max="111" width="9.109375" style="1" customWidth="1"/>
    <col min="112" max="112" width="10" style="1" customWidth="1"/>
    <col min="113" max="113" width="8.88671875" style="1"/>
    <col min="114" max="114" width="12.44140625" style="1" customWidth="1"/>
    <col min="115" max="16384" width="8.88671875" style="1"/>
  </cols>
  <sheetData>
    <row r="1" spans="1:118" x14ac:dyDescent="0.3">
      <c r="A1" s="2" t="s">
        <v>19</v>
      </c>
      <c r="B1" s="2" t="s">
        <v>20</v>
      </c>
      <c r="C1" s="2" t="s">
        <v>21</v>
      </c>
      <c r="E1" s="20" t="s">
        <v>14</v>
      </c>
      <c r="F1" s="20"/>
      <c r="G1" s="20"/>
      <c r="H1" s="20"/>
      <c r="I1" s="20"/>
      <c r="K1" s="20" t="s">
        <v>15</v>
      </c>
      <c r="L1" s="20"/>
      <c r="M1" s="20"/>
      <c r="N1" s="20"/>
      <c r="O1" s="20"/>
      <c r="Q1" s="20" t="s">
        <v>16</v>
      </c>
      <c r="R1" s="20"/>
      <c r="S1" s="20"/>
      <c r="T1" s="20"/>
      <c r="U1" s="20"/>
      <c r="W1" s="20" t="s">
        <v>17</v>
      </c>
      <c r="X1" s="20"/>
      <c r="Y1" s="20"/>
      <c r="Z1" s="20"/>
      <c r="AA1" s="20"/>
      <c r="AC1" s="20" t="s">
        <v>18</v>
      </c>
      <c r="AD1" s="20"/>
      <c r="AE1" s="20"/>
      <c r="AF1" s="20"/>
      <c r="AG1" s="20"/>
      <c r="AI1" s="20" t="s">
        <v>22</v>
      </c>
      <c r="AJ1" s="20"/>
      <c r="AK1" s="20"/>
      <c r="AL1" s="20"/>
      <c r="AM1" s="20"/>
      <c r="AO1" s="20" t="s">
        <v>23</v>
      </c>
      <c r="AP1" s="20"/>
      <c r="AQ1" s="20"/>
      <c r="AR1" s="20"/>
      <c r="AS1" s="20"/>
      <c r="AU1" s="20" t="s">
        <v>22</v>
      </c>
      <c r="AV1" s="20"/>
      <c r="AW1" s="20"/>
      <c r="AX1" s="20"/>
      <c r="AY1" s="20"/>
      <c r="BA1" s="20" t="s">
        <v>0</v>
      </c>
      <c r="BB1" s="20"/>
      <c r="BC1" s="20"/>
      <c r="BD1" s="20"/>
      <c r="BE1" s="20"/>
      <c r="BG1" s="20" t="s">
        <v>1</v>
      </c>
      <c r="BH1" s="20"/>
      <c r="BI1" s="20"/>
      <c r="BJ1" s="20"/>
      <c r="BK1" s="20"/>
      <c r="BM1" s="20" t="s">
        <v>2</v>
      </c>
      <c r="BN1" s="20"/>
      <c r="BO1" s="20"/>
      <c r="BP1" s="20"/>
      <c r="BQ1" s="20"/>
      <c r="BS1" s="20" t="s">
        <v>3</v>
      </c>
      <c r="BT1" s="20"/>
      <c r="BU1" s="20"/>
      <c r="BV1" s="20"/>
      <c r="BW1" s="20"/>
      <c r="BY1" s="20" t="s">
        <v>4</v>
      </c>
      <c r="BZ1" s="20"/>
      <c r="CA1" s="20"/>
      <c r="CB1" s="20"/>
      <c r="CC1" s="20"/>
      <c r="CE1" s="20" t="s">
        <v>5</v>
      </c>
      <c r="CF1" s="20"/>
      <c r="CG1" s="20"/>
      <c r="CH1" s="20"/>
      <c r="CI1" s="20"/>
      <c r="CK1" s="20" t="s">
        <v>6</v>
      </c>
      <c r="CL1" s="20"/>
      <c r="CM1" s="20"/>
      <c r="CN1" s="20"/>
      <c r="CO1" s="20"/>
      <c r="CQ1" s="20" t="s">
        <v>7</v>
      </c>
      <c r="CR1" s="20"/>
      <c r="CS1" s="20"/>
      <c r="CT1" s="20"/>
      <c r="CU1" s="20"/>
      <c r="CW1" s="20" t="s">
        <v>8</v>
      </c>
      <c r="CX1" s="20"/>
      <c r="CY1" s="20"/>
      <c r="CZ1" s="20"/>
      <c r="DA1" s="20"/>
      <c r="DC1" s="20" t="s">
        <v>9</v>
      </c>
      <c r="DD1" s="20"/>
      <c r="DE1" s="20"/>
      <c r="DF1" s="20"/>
      <c r="DG1" s="20"/>
      <c r="DH1" s="20"/>
      <c r="DJ1" s="20" t="s">
        <v>10</v>
      </c>
      <c r="DK1" s="20"/>
      <c r="DL1" s="20"/>
      <c r="DM1" s="20"/>
      <c r="DN1" s="20"/>
    </row>
    <row r="2" spans="1:118" x14ac:dyDescent="0.3">
      <c r="E2" s="10" t="s">
        <v>12</v>
      </c>
      <c r="F2" s="8" t="s">
        <v>11</v>
      </c>
      <c r="G2" s="11" t="s">
        <v>13</v>
      </c>
      <c r="H2" s="14" t="s">
        <v>24</v>
      </c>
      <c r="I2" s="15" t="s">
        <v>25</v>
      </c>
      <c r="K2" s="10" t="s">
        <v>12</v>
      </c>
      <c r="L2" s="8" t="s">
        <v>11</v>
      </c>
      <c r="M2" s="11" t="s">
        <v>13</v>
      </c>
      <c r="N2" s="14" t="s">
        <v>24</v>
      </c>
      <c r="O2" s="15" t="s">
        <v>25</v>
      </c>
      <c r="Q2" s="10" t="s">
        <v>12</v>
      </c>
      <c r="R2" s="8" t="s">
        <v>11</v>
      </c>
      <c r="S2" s="11" t="s">
        <v>13</v>
      </c>
      <c r="T2" s="14" t="s">
        <v>24</v>
      </c>
      <c r="U2" s="15" t="s">
        <v>25</v>
      </c>
      <c r="W2" s="10" t="s">
        <v>12</v>
      </c>
      <c r="X2" s="8" t="s">
        <v>11</v>
      </c>
      <c r="Y2" s="11" t="s">
        <v>13</v>
      </c>
      <c r="Z2" s="14" t="s">
        <v>24</v>
      </c>
      <c r="AA2" s="15" t="s">
        <v>25</v>
      </c>
      <c r="AC2" s="10" t="s">
        <v>12</v>
      </c>
      <c r="AD2" s="8" t="s">
        <v>11</v>
      </c>
      <c r="AE2" s="11" t="s">
        <v>13</v>
      </c>
      <c r="AF2" s="14" t="s">
        <v>24</v>
      </c>
      <c r="AG2" s="15" t="s">
        <v>25</v>
      </c>
      <c r="AI2" s="10" t="s">
        <v>12</v>
      </c>
      <c r="AJ2" s="8" t="s">
        <v>11</v>
      </c>
      <c r="AK2" s="11" t="s">
        <v>13</v>
      </c>
      <c r="AL2" s="14" t="s">
        <v>24</v>
      </c>
      <c r="AM2" s="15" t="s">
        <v>25</v>
      </c>
      <c r="AO2" s="10" t="s">
        <v>12</v>
      </c>
      <c r="AP2" s="8" t="s">
        <v>11</v>
      </c>
      <c r="AQ2" s="11" t="s">
        <v>13</v>
      </c>
      <c r="AR2" s="14" t="s">
        <v>24</v>
      </c>
      <c r="AS2" s="15" t="s">
        <v>25</v>
      </c>
      <c r="AU2" s="10" t="s">
        <v>12</v>
      </c>
      <c r="AV2" s="8" t="s">
        <v>11</v>
      </c>
      <c r="AW2" s="11" t="s">
        <v>13</v>
      </c>
      <c r="AX2" s="14" t="s">
        <v>24</v>
      </c>
      <c r="AY2" s="15" t="s">
        <v>25</v>
      </c>
      <c r="BA2" s="10" t="s">
        <v>12</v>
      </c>
      <c r="BB2" s="8" t="s">
        <v>11</v>
      </c>
      <c r="BC2" s="11" t="s">
        <v>13</v>
      </c>
      <c r="BD2" s="14" t="s">
        <v>24</v>
      </c>
      <c r="BE2" s="15" t="s">
        <v>25</v>
      </c>
      <c r="BG2" s="10" t="s">
        <v>12</v>
      </c>
      <c r="BH2" s="8" t="s">
        <v>11</v>
      </c>
      <c r="BI2" s="11" t="s">
        <v>13</v>
      </c>
      <c r="BJ2" s="14" t="s">
        <v>24</v>
      </c>
      <c r="BK2" s="15" t="s">
        <v>25</v>
      </c>
      <c r="BM2" s="10" t="s">
        <v>12</v>
      </c>
      <c r="BN2" s="8" t="s">
        <v>11</v>
      </c>
      <c r="BO2" s="11" t="s">
        <v>13</v>
      </c>
      <c r="BP2" s="14" t="s">
        <v>24</v>
      </c>
      <c r="BQ2" s="15" t="s">
        <v>25</v>
      </c>
      <c r="BS2" s="10" t="s">
        <v>12</v>
      </c>
      <c r="BT2" s="8" t="s">
        <v>11</v>
      </c>
      <c r="BU2" s="11" t="s">
        <v>13</v>
      </c>
      <c r="BV2" s="14" t="s">
        <v>24</v>
      </c>
      <c r="BW2" s="15" t="s">
        <v>25</v>
      </c>
      <c r="BY2" s="10" t="s">
        <v>12</v>
      </c>
      <c r="BZ2" s="8" t="s">
        <v>11</v>
      </c>
      <c r="CA2" s="11" t="s">
        <v>13</v>
      </c>
      <c r="CB2" s="14" t="s">
        <v>24</v>
      </c>
      <c r="CC2" s="15" t="s">
        <v>25</v>
      </c>
      <c r="CE2" s="10" t="s">
        <v>12</v>
      </c>
      <c r="CF2" s="8" t="s">
        <v>11</v>
      </c>
      <c r="CG2" s="11" t="s">
        <v>13</v>
      </c>
      <c r="CH2" s="14" t="s">
        <v>24</v>
      </c>
      <c r="CI2" s="15" t="s">
        <v>25</v>
      </c>
      <c r="CK2" s="10" t="s">
        <v>12</v>
      </c>
      <c r="CL2" s="8" t="s">
        <v>11</v>
      </c>
      <c r="CM2" s="11" t="s">
        <v>13</v>
      </c>
      <c r="CN2" s="14" t="s">
        <v>24</v>
      </c>
      <c r="CO2" s="15" t="s">
        <v>25</v>
      </c>
      <c r="CQ2" s="10" t="s">
        <v>12</v>
      </c>
      <c r="CR2" s="8" t="s">
        <v>11</v>
      </c>
      <c r="CS2" s="11" t="s">
        <v>13</v>
      </c>
      <c r="CT2" s="14" t="s">
        <v>24</v>
      </c>
      <c r="CU2" s="15" t="s">
        <v>25</v>
      </c>
      <c r="CW2" s="10" t="s">
        <v>12</v>
      </c>
      <c r="CX2" s="8" t="s">
        <v>11</v>
      </c>
      <c r="CY2" s="11" t="s">
        <v>13</v>
      </c>
      <c r="CZ2" s="14" t="s">
        <v>24</v>
      </c>
      <c r="DA2" s="15" t="s">
        <v>25</v>
      </c>
      <c r="DD2" s="10" t="s">
        <v>12</v>
      </c>
      <c r="DE2" s="8" t="s">
        <v>11</v>
      </c>
      <c r="DF2" s="11" t="s">
        <v>13</v>
      </c>
      <c r="DG2" s="14" t="s">
        <v>24</v>
      </c>
      <c r="DH2" s="15" t="s">
        <v>25</v>
      </c>
      <c r="DJ2" s="10" t="s">
        <v>12</v>
      </c>
      <c r="DK2" s="8" t="s">
        <v>11</v>
      </c>
      <c r="DL2" s="11" t="s">
        <v>13</v>
      </c>
      <c r="DM2" s="14" t="s">
        <v>24</v>
      </c>
      <c r="DN2" s="15" t="s">
        <v>25</v>
      </c>
    </row>
    <row r="3" spans="1:118" x14ac:dyDescent="0.3">
      <c r="A3" s="7">
        <v>-0.30499999999999999</v>
      </c>
      <c r="B3" s="8">
        <v>4.9000000000000002E-2</v>
      </c>
      <c r="C3" s="9">
        <v>-0.93899999999999995</v>
      </c>
      <c r="E3" s="1">
        <f>SQRT((A3^2)+(B3^2)+(C3^2))</f>
        <v>0.98850746077103524</v>
      </c>
      <c r="F3" s="1">
        <v>0.98899999999999999</v>
      </c>
      <c r="G3" s="1">
        <f>E3-F3</f>
        <v>-4.9253922896475011E-4</v>
      </c>
      <c r="H3" s="1">
        <f>AVERAGE(G3:G12)</f>
        <v>-4.3932731581752818E-5</v>
      </c>
      <c r="I3" s="1">
        <f>_xlfn.STDEV.P(G3:G12)</f>
        <v>2.6304931143686312E-4</v>
      </c>
      <c r="K3" s="1">
        <f t="shared" ref="K3:K12" si="0">(A3*B3*C3)^(1/3)</f>
        <v>0.24120548007537651</v>
      </c>
      <c r="L3" s="1">
        <v>0.24099999999999999</v>
      </c>
      <c r="M3" s="1">
        <f t="shared" ref="M3:M12" si="1">K3-L3</f>
        <v>2.0548007537651847E-4</v>
      </c>
      <c r="N3" s="1">
        <f>AVERAGE(M3:M12)</f>
        <v>7.894772136956551E-5</v>
      </c>
      <c r="O3" s="1">
        <f>_xlfn.STDEV.P(M3:M12)</f>
        <v>2.531554807534347E-4</v>
      </c>
      <c r="Q3" s="12">
        <f t="shared" ref="Q3:Q12" si="2">(A3-A2)/103</f>
        <v>-2.9611650485436894E-3</v>
      </c>
      <c r="R3" s="1">
        <v>0</v>
      </c>
      <c r="S3" s="1">
        <f t="shared" ref="S3:S12" si="3">Q3-R3</f>
        <v>-2.9611650485436894E-3</v>
      </c>
      <c r="T3" s="1">
        <f>AVERAGE(S3:S12)</f>
        <v>-2.8834951456310683E-4</v>
      </c>
      <c r="U3" s="1">
        <f>_xlfn.STDEV.P(S3:S12)</f>
        <v>8.914086010330302E-4</v>
      </c>
      <c r="W3" s="13">
        <f t="shared" ref="W3:W12" si="4">(B3-B2)/103</f>
        <v>4.7572815533980582E-4</v>
      </c>
      <c r="X3" s="1">
        <v>0</v>
      </c>
      <c r="Y3" s="13">
        <f>W3-X3</f>
        <v>4.7572815533980582E-4</v>
      </c>
      <c r="Z3" s="6">
        <f>AVERAGE(Y3:Y12)</f>
        <v>6.2135922330097091E-5</v>
      </c>
      <c r="AA3" s="1">
        <f>_xlfn.STDEV.P(Y3:Y12)</f>
        <v>1.4104093046473691E-4</v>
      </c>
      <c r="AC3" s="13">
        <f t="shared" ref="AC3:AC12" si="5">(C3-C2)/103</f>
        <v>-9.1165048543689307E-3</v>
      </c>
      <c r="AD3" s="1">
        <v>0</v>
      </c>
      <c r="AE3" s="1">
        <f>AC3-AD3</f>
        <v>-9.1165048543689307E-3</v>
      </c>
      <c r="AF3" s="1">
        <f>AVERAGE(AE3:AE12)</f>
        <v>-9.16504854368932E-4</v>
      </c>
      <c r="AG3" s="1">
        <f>_xlfn.STDEV.P(AE3:AE12)</f>
        <v>2.73349234387168E-3</v>
      </c>
      <c r="AI3" s="1">
        <f xml:space="preserve"> ACOS((A3)/SQRT((A3^2)+(B3^2)+(C3^2)))</f>
        <v>1.8844603747269655</v>
      </c>
      <c r="AJ3" s="1">
        <v>1.8839999999999999</v>
      </c>
      <c r="AK3" s="13">
        <f>AI3-AJ3</f>
        <v>4.6037472696558446E-4</v>
      </c>
      <c r="AL3" s="6">
        <f>AVERAGE(AK3:AK12)</f>
        <v>-9.8518409421877173E-5</v>
      </c>
      <c r="AM3" s="1">
        <f>_xlfn.STDEV.P(AK3:AK12)</f>
        <v>3.3762406875289088E-4</v>
      </c>
      <c r="AO3" s="1">
        <f xml:space="preserve"> ACOS((B3)/SQRT((A3^2)+(B3^2)+(C3^2)))</f>
        <v>1.5212063227552572</v>
      </c>
      <c r="AP3" s="1">
        <v>1.5209999999999999</v>
      </c>
      <c r="AQ3" s="1">
        <f>AO3-AP3</f>
        <v>2.0632275525733768E-4</v>
      </c>
      <c r="AR3" s="1">
        <f>AVERAGE(AQ3:AQ12)</f>
        <v>1.3524375716842397E-4</v>
      </c>
      <c r="AS3" s="1">
        <f>_xlfn.STDEV.P(AQ3:AQ12)</f>
        <v>1.1959096159810718E-4</v>
      </c>
      <c r="AU3" s="1">
        <f xml:space="preserve"> ACOS((C3)/SQRT((A3^2)+(B3^2)+(C3^2)))</f>
        <v>2.82376638424725</v>
      </c>
      <c r="AV3" s="1">
        <v>2.8239999999999998</v>
      </c>
      <c r="AW3" s="1">
        <f>AU3-AV3</f>
        <v>-2.3361575274982727E-4</v>
      </c>
      <c r="AX3" s="1">
        <f>AVERAGE(AW3:AW12)</f>
        <v>1.2119121219105189E-4</v>
      </c>
      <c r="AY3" s="1">
        <f>_xlfn.STDEV.P(AW3:AW12)</f>
        <v>2.5685733499246989E-4</v>
      </c>
      <c r="BA3" s="16">
        <f>AVERAGE(A3:A34)</f>
        <v>-0.29969999999999997</v>
      </c>
      <c r="BB3" s="1">
        <v>-0.3</v>
      </c>
      <c r="BC3" s="1">
        <f>BA3-BB3</f>
        <v>3.0000000000002247E-4</v>
      </c>
      <c r="BD3" s="19">
        <f>AVERAGE(BC3)</f>
        <v>3.0000000000002247E-4</v>
      </c>
      <c r="BE3" s="1">
        <f>_xlfn.STDEV.P(BC3:BC12)</f>
        <v>0</v>
      </c>
      <c r="BG3" s="1">
        <f>MAX(A3:A34)</f>
        <v>-0.29399999999999998</v>
      </c>
      <c r="BH3" s="1">
        <v>-0.29399999999999998</v>
      </c>
      <c r="BI3" s="1">
        <f>BG3-BH3</f>
        <v>0</v>
      </c>
      <c r="BJ3" s="1">
        <f>AVERAGE(BI3)</f>
        <v>0</v>
      </c>
      <c r="BK3" s="1">
        <f>_xlfn.STDEV.P(BI3:BI12)</f>
        <v>0</v>
      </c>
      <c r="BM3" s="1">
        <f>MIN(A3:A34)</f>
        <v>-0.308</v>
      </c>
      <c r="BN3" s="1">
        <v>-0.308</v>
      </c>
      <c r="BO3" s="1">
        <f>BM3-BN3</f>
        <v>0</v>
      </c>
      <c r="BP3" s="1">
        <f>AVERAGE(BO3)</f>
        <v>0</v>
      </c>
      <c r="BQ3" s="1">
        <f>_xlfn.STDEV.P(BO3:BO12)</f>
        <v>0</v>
      </c>
      <c r="BS3" s="1" cm="1">
        <f t="array" ref="BS3">(SUM(ABS((A3:A12))+SUM(ABS(B3:B12))+SUM(ABS(C3:C12)))/10)</f>
        <v>10.3207</v>
      </c>
      <c r="BT3" s="1">
        <v>1.302</v>
      </c>
      <c r="BU3" s="1">
        <f>BS3-BT3</f>
        <v>9.0187000000000008</v>
      </c>
      <c r="BV3" s="1">
        <f>AVERAGE(BU3)</f>
        <v>9.0187000000000008</v>
      </c>
      <c r="BW3" s="1">
        <f>_xlfn.STDEV.P(BU3)</f>
        <v>0</v>
      </c>
      <c r="BY3" s="1" cm="1">
        <f t="array" ref="BY3">SQRT((SUM(POWER(A3:A12,2)))/10)</f>
        <v>0.29973504966887005</v>
      </c>
      <c r="BZ3" s="1">
        <v>0.189</v>
      </c>
      <c r="CA3" s="1">
        <f>BY3-BZ3</f>
        <v>0.11073504966887004</v>
      </c>
      <c r="CB3" s="1">
        <f>AVERAGE(CA3)</f>
        <v>0.11073504966887004</v>
      </c>
      <c r="CC3" s="1">
        <f>_xlfn.STDEV.P(CA3)</f>
        <v>0</v>
      </c>
      <c r="CE3" s="12" cm="1">
        <f t="array" ref="CE3">(SUM(ABS(A3:A12 - AVERAGE(A3:A12))))/10</f>
        <v>4.0399999999999993E-3</v>
      </c>
      <c r="CF3" s="1">
        <v>4.0000000000000001E-3</v>
      </c>
      <c r="CG3" s="18">
        <f>CE3-CF3</f>
        <v>3.9999999999999238E-5</v>
      </c>
      <c r="CH3" s="18">
        <f>AVERAGE(CG3)</f>
        <v>3.9999999999999238E-5</v>
      </c>
      <c r="CI3" s="1">
        <f>_xlfn.STDEV.P(CG3)</f>
        <v>0</v>
      </c>
      <c r="CK3" s="1">
        <f>_xlfn.VAR.P(A3:A12)</f>
        <v>2.1010000000000034E-5</v>
      </c>
      <c r="CL3" s="1">
        <v>0</v>
      </c>
      <c r="CM3" s="1">
        <f>CK3-CL3</f>
        <v>2.1010000000000034E-5</v>
      </c>
      <c r="CN3" s="17">
        <f>AVERAGE(CM3)</f>
        <v>2.1010000000000034E-5</v>
      </c>
      <c r="CO3" s="1">
        <f>_xlfn.STDEV.P(CM3)</f>
        <v>0</v>
      </c>
      <c r="CQ3" s="1">
        <f>_xlfn.STDEV.P(A3:A12)</f>
        <v>4.58366665454634E-3</v>
      </c>
      <c r="CR3" s="1">
        <v>5.0000000000000001E-3</v>
      </c>
      <c r="CS3" s="1">
        <f>CQ3-CR3</f>
        <v>-4.163333454536601E-4</v>
      </c>
      <c r="CT3" s="1">
        <f>AVERAGE(CS3)</f>
        <v>-4.163333454536601E-4</v>
      </c>
      <c r="CU3" s="1">
        <f>_xlfn.STDEV.P(CS3)</f>
        <v>0</v>
      </c>
      <c r="CW3" s="1">
        <f>QUARTILE(A3:A12,3)- QUARTILE(A3:A12,1)</f>
        <v>7.2499999999999787E-3</v>
      </c>
      <c r="CX3" s="1">
        <v>7.0000000000000001E-3</v>
      </c>
      <c r="CY3" s="1">
        <f>CW3-CX3</f>
        <v>2.4999999999997854E-4</v>
      </c>
      <c r="CZ3" s="1">
        <f>AVERAGE(CY3)</f>
        <v>2.4999999999997854E-4</v>
      </c>
      <c r="DA3" s="1">
        <f>_xlfn.STDEV.P(CY3)</f>
        <v>0</v>
      </c>
      <c r="DC3" s="1">
        <v>0</v>
      </c>
      <c r="DD3" s="1" cm="1">
        <f t="array" ref="DD3">SUMPRODUCT($A$3:$A$12,COS(2*PI()*DC3*_xlfn.SEQUENCE(10,1,0,1)/10))</f>
        <v>-2.9969999999999999</v>
      </c>
      <c r="DE3" s="1">
        <v>-2.9969999999999999</v>
      </c>
      <c r="DF3" s="1">
        <f>DD3-DE3</f>
        <v>0</v>
      </c>
      <c r="DG3" s="1">
        <f>AVERAGE(DF3:DF12)</f>
        <v>7.1297134862646774E-17</v>
      </c>
      <c r="DH3" s="1">
        <f>_xlfn.STDEV.P(DF3:DF12)</f>
        <v>6.7040998712301737E-5</v>
      </c>
      <c r="DJ3" s="1" cm="1">
        <f t="array" ref="DJ3">(SUM(POWER(DD3:DD12,2)))/10</f>
        <v>0.8983059999999996</v>
      </c>
      <c r="DK3" s="1">
        <v>0.89800000000000002</v>
      </c>
      <c r="DL3" s="1">
        <f>DJ3-DK3</f>
        <v>3.0599999999958438E-4</v>
      </c>
      <c r="DM3" s="1">
        <f>AVERAGE(DL3)</f>
        <v>3.0599999999958438E-4</v>
      </c>
      <c r="DN3" s="1">
        <f>_xlfn.STDEV.P(DL3)</f>
        <v>0</v>
      </c>
    </row>
    <row r="4" spans="1:118" x14ac:dyDescent="0.3">
      <c r="A4" s="7">
        <v>-0.30399999999999999</v>
      </c>
      <c r="B4" s="8">
        <v>5.0999999999999997E-2</v>
      </c>
      <c r="C4" s="9">
        <v>-0.94199999999999995</v>
      </c>
      <c r="E4" s="1">
        <f t="shared" ref="E4:E12" si="6">SQRT((A4^2)+(B4^2)+(C4^2))</f>
        <v>0.99115135070280758</v>
      </c>
      <c r="F4" s="1">
        <v>0.99099999999999999</v>
      </c>
      <c r="G4" s="1">
        <f t="shared" ref="G4:G12" si="7">E4-F4</f>
        <v>1.5135070280758445E-4</v>
      </c>
      <c r="K4" s="1">
        <f t="shared" si="0"/>
        <v>0.24443584199907373</v>
      </c>
      <c r="L4" s="1">
        <v>0.24399999999999999</v>
      </c>
      <c r="M4" s="1">
        <f t="shared" si="1"/>
        <v>4.3584199907373278E-4</v>
      </c>
      <c r="Q4" s="12">
        <f t="shared" si="2"/>
        <v>9.708737864077678E-6</v>
      </c>
      <c r="R4" s="1">
        <v>0</v>
      </c>
      <c r="S4" s="1">
        <f t="shared" si="3"/>
        <v>9.708737864077678E-6</v>
      </c>
      <c r="W4" s="13">
        <f t="shared" si="4"/>
        <v>1.9417475728155288E-5</v>
      </c>
      <c r="X4" s="1">
        <v>0</v>
      </c>
      <c r="Y4" s="13">
        <f t="shared" ref="Y4:Y12" si="8">W4-X4</f>
        <v>1.9417475728155288E-5</v>
      </c>
      <c r="AC4" s="13">
        <f t="shared" si="5"/>
        <v>-2.9126213592233034E-5</v>
      </c>
      <c r="AD4" s="1">
        <v>0</v>
      </c>
      <c r="AE4" s="1">
        <f t="shared" ref="AE4:AE12" si="9">AC4-AD4</f>
        <v>-2.9126213592233034E-5</v>
      </c>
      <c r="AI4" s="1">
        <f t="shared" ref="AI4:AI12" si="10" xml:space="preserve"> ACOS((A4)/SQRT((A4^2)+(B4^2)+(C4^2)))</f>
        <v>1.8825350349715244</v>
      </c>
      <c r="AJ4" s="1">
        <v>1.883</v>
      </c>
      <c r="AK4" s="13">
        <f t="shared" ref="AK4:AK12" si="11">AI4-AJ4</f>
        <v>-4.6496502847559462E-4</v>
      </c>
      <c r="AN4" s="3"/>
      <c r="AO4" s="1">
        <f t="shared" ref="AO4:AO12" si="12" xml:space="preserve"> ACOS((B4)/SQRT((A4^2)+(B4^2)+(C4^2)))</f>
        <v>1.5193182837740695</v>
      </c>
      <c r="AP4" s="1">
        <v>1.5189999999999999</v>
      </c>
      <c r="AQ4" s="1">
        <f t="shared" ref="AQ4:AQ12" si="13">AO4-AP4</f>
        <v>3.182837740696165E-4</v>
      </c>
      <c r="AU4" s="1">
        <f t="shared" ref="AU4:AU12" si="14" xml:space="preserve"> ACOS((C4)/SQRT((A4^2)+(B4^2)+(C4^2)))</f>
        <v>2.8253474052449925</v>
      </c>
      <c r="AV4" s="1">
        <v>2.8250000000000002</v>
      </c>
      <c r="AW4" s="1">
        <f t="shared" ref="AW4:AW12" si="15">AU4-AV4</f>
        <v>3.4740524499232706E-4</v>
      </c>
      <c r="CB4" s="1" t="s">
        <v>26</v>
      </c>
      <c r="DC4" s="1">
        <v>1</v>
      </c>
      <c r="DD4" s="1" cm="1">
        <f t="array" ref="DD4">SUMPRODUCT($A$3:$A$12,COS(2*PI()*DC4*_xlfn.SEQUENCE(10,1,0,1)/10))</f>
        <v>-1.9944271909999006E-2</v>
      </c>
      <c r="DE4" s="1">
        <v>-0.02</v>
      </c>
      <c r="DF4" s="1">
        <f t="shared" ref="DF4:DF12" si="16">DD4-DE4</f>
        <v>5.5728090000994185E-5</v>
      </c>
    </row>
    <row r="5" spans="1:118" x14ac:dyDescent="0.3">
      <c r="A5" s="7">
        <v>-0.308</v>
      </c>
      <c r="B5" s="8">
        <v>5.2999999999999999E-2</v>
      </c>
      <c r="C5" s="9">
        <v>-0.93799999999999994</v>
      </c>
      <c r="E5" s="1">
        <f t="shared" si="6"/>
        <v>0.98869459389641645</v>
      </c>
      <c r="F5" s="1">
        <v>0.98899999999999999</v>
      </c>
      <c r="G5" s="1">
        <f t="shared" si="7"/>
        <v>-3.054061035835387E-4</v>
      </c>
      <c r="K5" s="1">
        <f t="shared" si="0"/>
        <v>0.24831891853128837</v>
      </c>
      <c r="L5" s="1">
        <v>0.248</v>
      </c>
      <c r="M5" s="1">
        <f t="shared" si="1"/>
        <v>3.1891853128837577E-4</v>
      </c>
      <c r="Q5" s="12">
        <f t="shared" si="2"/>
        <v>-3.8834951456310712E-5</v>
      </c>
      <c r="R5" s="1">
        <v>0</v>
      </c>
      <c r="S5" s="1">
        <f t="shared" si="3"/>
        <v>-3.8834951456310712E-5</v>
      </c>
      <c r="W5" s="13">
        <f t="shared" si="4"/>
        <v>1.9417475728155356E-5</v>
      </c>
      <c r="X5" s="1">
        <v>0</v>
      </c>
      <c r="Y5" s="13">
        <f t="shared" si="8"/>
        <v>1.9417475728155356E-5</v>
      </c>
      <c r="AC5" s="13">
        <f t="shared" si="5"/>
        <v>3.8834951456310712E-5</v>
      </c>
      <c r="AD5" s="1">
        <v>0</v>
      </c>
      <c r="AE5" s="1">
        <f t="shared" si="9"/>
        <v>3.8834951456310712E-5</v>
      </c>
      <c r="AI5" s="1">
        <f t="shared" si="10"/>
        <v>1.8875905171941947</v>
      </c>
      <c r="AJ5" s="1">
        <v>1.8879999999999999</v>
      </c>
      <c r="AK5" s="13">
        <f t="shared" si="11"/>
        <v>-4.094828058052169E-4</v>
      </c>
      <c r="AN5" s="3"/>
      <c r="AO5" s="1">
        <f t="shared" si="12"/>
        <v>1.5171645817252835</v>
      </c>
      <c r="AP5" s="1">
        <v>1.5169999999999999</v>
      </c>
      <c r="AQ5" s="1">
        <f t="shared" si="13"/>
        <v>1.6458172528355242E-4</v>
      </c>
      <c r="AU5" s="1">
        <f t="shared" si="14"/>
        <v>2.819976306724937</v>
      </c>
      <c r="AV5" s="1">
        <v>2.82</v>
      </c>
      <c r="AW5" s="1">
        <f t="shared" si="15"/>
        <v>-2.369327506279717E-5</v>
      </c>
      <c r="DC5" s="1">
        <v>2</v>
      </c>
      <c r="DD5" s="1" cm="1">
        <f t="array" ref="DD5">SUMPRODUCT($A$3:$A$12,COS(2*PI()*DC5*_xlfn.SEQUENCE(10,1,0,1)/10))</f>
        <v>6.0901699437496126E-3</v>
      </c>
      <c r="DE5" s="1">
        <v>6.0000000000000001E-3</v>
      </c>
      <c r="DF5" s="1">
        <f t="shared" si="16"/>
        <v>9.0169943749612499E-5</v>
      </c>
    </row>
    <row r="6" spans="1:118" x14ac:dyDescent="0.3">
      <c r="A6" s="7">
        <v>-0.30199999999999999</v>
      </c>
      <c r="B6" s="8">
        <v>5.7000000000000002E-2</v>
      </c>
      <c r="C6" s="9">
        <v>-0.94199999999999995</v>
      </c>
      <c r="E6" s="1">
        <f t="shared" si="6"/>
        <v>0.99086679225817231</v>
      </c>
      <c r="F6" s="1">
        <v>0.99099999999999999</v>
      </c>
      <c r="G6" s="1">
        <f t="shared" si="7"/>
        <v>-1.3320774182767892E-4</v>
      </c>
      <c r="K6" s="1">
        <f t="shared" si="0"/>
        <v>0.25311093053943579</v>
      </c>
      <c r="L6" s="1">
        <v>0.253</v>
      </c>
      <c r="M6" s="1">
        <f t="shared" si="1"/>
        <v>1.109305394357829E-4</v>
      </c>
      <c r="Q6" s="12">
        <f t="shared" si="2"/>
        <v>5.8252427184466068E-5</v>
      </c>
      <c r="R6" s="1">
        <v>0</v>
      </c>
      <c r="S6" s="1">
        <f t="shared" si="3"/>
        <v>5.8252427184466068E-5</v>
      </c>
      <c r="W6" s="13">
        <f t="shared" si="4"/>
        <v>3.8834951456310712E-5</v>
      </c>
      <c r="X6" s="1">
        <v>0</v>
      </c>
      <c r="Y6" s="13">
        <f t="shared" si="8"/>
        <v>3.8834951456310712E-5</v>
      </c>
      <c r="AC6" s="13">
        <f t="shared" si="5"/>
        <v>-3.8834951456310712E-5</v>
      </c>
      <c r="AD6" s="1">
        <v>0</v>
      </c>
      <c r="AE6" s="1">
        <f t="shared" si="9"/>
        <v>-3.8834951456310712E-5</v>
      </c>
      <c r="AI6" s="1">
        <f t="shared" si="10"/>
        <v>1.8805075925465531</v>
      </c>
      <c r="AJ6" s="1">
        <v>1.881</v>
      </c>
      <c r="AK6" s="13">
        <f t="shared" si="11"/>
        <v>-4.9240745344691916E-4</v>
      </c>
      <c r="AN6" s="3"/>
      <c r="AO6" s="1">
        <f t="shared" si="12"/>
        <v>1.5132391612171914</v>
      </c>
      <c r="AP6" s="1">
        <v>1.5129999999999999</v>
      </c>
      <c r="AQ6" s="1">
        <f t="shared" si="13"/>
        <v>2.3916121719147476E-4</v>
      </c>
      <c r="AU6" s="1">
        <f t="shared" si="14"/>
        <v>2.8262262052837208</v>
      </c>
      <c r="AV6" s="1">
        <v>2.8260000000000001</v>
      </c>
      <c r="AW6" s="1">
        <f t="shared" si="15"/>
        <v>2.2620528372074844E-4</v>
      </c>
      <c r="DC6" s="1">
        <v>3</v>
      </c>
      <c r="DD6" s="1" cm="1">
        <f t="array" ref="DD6">SUMPRODUCT($A$3:$A$12,COS(2*PI()*DC6*_xlfn.SEQUENCE(10,1,0,1)/10))</f>
        <v>-2.055728090000708E-3</v>
      </c>
      <c r="DE6" s="1">
        <v>-2E-3</v>
      </c>
      <c r="DF6" s="1">
        <f t="shared" si="16"/>
        <v>-5.5728090000707955E-5</v>
      </c>
    </row>
    <row r="7" spans="1:118" x14ac:dyDescent="0.3">
      <c r="A7" s="7">
        <v>-0.29899999999999999</v>
      </c>
      <c r="B7" s="8">
        <v>6.0999999999999999E-2</v>
      </c>
      <c r="C7" s="9">
        <v>-0.94099999999999995</v>
      </c>
      <c r="E7" s="1">
        <f t="shared" si="6"/>
        <v>0.98924365047242024</v>
      </c>
      <c r="F7" s="1">
        <v>0.98899999999999999</v>
      </c>
      <c r="G7" s="1">
        <f t="shared" si="7"/>
        <v>2.4365047242025373E-4</v>
      </c>
      <c r="K7" s="1">
        <f t="shared" si="0"/>
        <v>0.25794684220208403</v>
      </c>
      <c r="L7" s="1">
        <v>0.25800000000000001</v>
      </c>
      <c r="M7" s="1">
        <f t="shared" si="1"/>
        <v>-5.3157797915981408E-5</v>
      </c>
      <c r="Q7" s="12">
        <f t="shared" si="2"/>
        <v>2.9126213592233034E-5</v>
      </c>
      <c r="R7" s="1">
        <v>0</v>
      </c>
      <c r="S7" s="1">
        <f t="shared" si="3"/>
        <v>2.9126213592233034E-5</v>
      </c>
      <c r="W7" s="13">
        <f t="shared" si="4"/>
        <v>3.8834951456310644E-5</v>
      </c>
      <c r="X7" s="1">
        <v>0</v>
      </c>
      <c r="Y7" s="13">
        <f t="shared" si="8"/>
        <v>3.8834951456310644E-5</v>
      </c>
      <c r="AC7" s="13">
        <f t="shared" si="5"/>
        <v>9.708737864077678E-6</v>
      </c>
      <c r="AD7" s="1">
        <v>0</v>
      </c>
      <c r="AE7" s="1">
        <f t="shared" si="9"/>
        <v>9.708737864077678E-6</v>
      </c>
      <c r="AI7" s="1">
        <f t="shared" si="10"/>
        <v>1.8778496728707079</v>
      </c>
      <c r="AJ7" s="1">
        <v>1.8779999999999999</v>
      </c>
      <c r="AK7" s="13">
        <f t="shared" si="11"/>
        <v>-1.5032712929197167E-4</v>
      </c>
      <c r="AN7" s="3"/>
      <c r="AO7" s="1">
        <f t="shared" si="12"/>
        <v>1.5090939104252985</v>
      </c>
      <c r="AP7" s="1">
        <v>1.5089999999999999</v>
      </c>
      <c r="AQ7" s="1">
        <f t="shared" si="13"/>
        <v>9.3910425298604494E-5</v>
      </c>
      <c r="AU7" s="1">
        <f t="shared" si="14"/>
        <v>2.8280010543390945</v>
      </c>
      <c r="AV7" s="1">
        <v>2.8279999999999998</v>
      </c>
      <c r="AW7" s="1">
        <f t="shared" si="15"/>
        <v>1.0543390946970987E-6</v>
      </c>
      <c r="DC7" s="1">
        <v>4</v>
      </c>
      <c r="DD7" s="1" cm="1">
        <f t="array" ref="DD7">SUMPRODUCT($A$3:$A$12,COS(2*PI()*DC7*_xlfn.SEQUENCE(10,1,0,1)/10))</f>
        <v>-5.0901699437494174E-3</v>
      </c>
      <c r="DE7" s="1">
        <v>-5.0000000000000001E-3</v>
      </c>
      <c r="DF7" s="1">
        <f t="shared" si="16"/>
        <v>-9.0169943749417343E-5</v>
      </c>
    </row>
    <row r="8" spans="1:118" x14ac:dyDescent="0.3">
      <c r="A8" s="7">
        <v>-0.29399999999999998</v>
      </c>
      <c r="B8" s="8">
        <v>6.9000000000000006E-2</v>
      </c>
      <c r="C8" s="9">
        <v>-0.94499999999999995</v>
      </c>
      <c r="E8" s="1">
        <f t="shared" si="6"/>
        <v>0.99207963390042431</v>
      </c>
      <c r="F8" s="1">
        <v>0.99199999999999999</v>
      </c>
      <c r="G8" s="1">
        <f t="shared" si="7"/>
        <v>7.9633900424314064E-5</v>
      </c>
      <c r="K8" s="1">
        <f t="shared" si="0"/>
        <v>0.26763489862376388</v>
      </c>
      <c r="L8" s="1">
        <v>0.26800000000000002</v>
      </c>
      <c r="M8" s="1">
        <f t="shared" si="1"/>
        <v>-3.6510137623613215E-4</v>
      </c>
      <c r="Q8" s="12">
        <f t="shared" si="2"/>
        <v>4.8543689320388394E-5</v>
      </c>
      <c r="R8" s="1">
        <v>0</v>
      </c>
      <c r="S8" s="1">
        <f t="shared" si="3"/>
        <v>4.8543689320388394E-5</v>
      </c>
      <c r="W8" s="13">
        <f t="shared" si="4"/>
        <v>7.7669902912621424E-5</v>
      </c>
      <c r="X8" s="1">
        <v>0</v>
      </c>
      <c r="Y8" s="13">
        <f t="shared" si="8"/>
        <v>7.7669902912621424E-5</v>
      </c>
      <c r="AC8" s="13">
        <f t="shared" si="5"/>
        <v>-3.8834951456310712E-5</v>
      </c>
      <c r="AD8" s="1">
        <v>0</v>
      </c>
      <c r="AE8" s="1">
        <f t="shared" si="9"/>
        <v>-3.8834951456310712E-5</v>
      </c>
      <c r="AI8" s="1">
        <f t="shared" si="10"/>
        <v>1.87166207655365</v>
      </c>
      <c r="AJ8" s="1">
        <v>1.8720000000000001</v>
      </c>
      <c r="AK8" s="13">
        <f t="shared" si="11"/>
        <v>-3.3792344635008575E-4</v>
      </c>
      <c r="AN8" s="3"/>
      <c r="AO8" s="1">
        <f t="shared" si="12"/>
        <v>1.5011892627031214</v>
      </c>
      <c r="AP8" s="1">
        <v>1.5009999999999999</v>
      </c>
      <c r="AQ8" s="1">
        <f t="shared" si="13"/>
        <v>1.8926270312147331E-4</v>
      </c>
      <c r="AU8" s="1">
        <f t="shared" si="14"/>
        <v>2.8322848465904178</v>
      </c>
      <c r="AV8" s="1">
        <v>2.8319999999999999</v>
      </c>
      <c r="AW8" s="1">
        <f t="shared" si="15"/>
        <v>2.8484659041794202E-4</v>
      </c>
      <c r="BS8">
        <v>-1.4999999999999999E-2</v>
      </c>
      <c r="BT8">
        <v>1.0999999999999999E-2</v>
      </c>
      <c r="BU8">
        <v>-1.7999999999999999E-2</v>
      </c>
      <c r="BW8" s="1" cm="1">
        <f t="array" ref="BW8">( SUM(ABS(BS8:BS17)) + SUM(ABS(BT8:BT17)) + SUM(ABS(BU8:BU17)) ) /10</f>
        <v>5.9500000000000011E-2</v>
      </c>
      <c r="DC8" s="1">
        <v>5</v>
      </c>
      <c r="DD8" s="1" cm="1">
        <f t="array" ref="DD8">SUMPRODUCT($A$3:$A$12,COS(2*PI()*DC8*_xlfn.SEQUENCE(10,1,0,1)/10))</f>
        <v>-1.100000000000001E-2</v>
      </c>
      <c r="DE8" s="1">
        <v>-1.0999999999999999E-2</v>
      </c>
      <c r="DF8" s="1">
        <f t="shared" si="16"/>
        <v>0</v>
      </c>
    </row>
    <row r="9" spans="1:118" x14ac:dyDescent="0.3">
      <c r="A9" s="7">
        <v>-0.29399999999999998</v>
      </c>
      <c r="B9" s="8">
        <v>6.8000000000000005E-2</v>
      </c>
      <c r="C9" s="9">
        <v>-0.94099999999999995</v>
      </c>
      <c r="E9" s="1">
        <f t="shared" si="6"/>
        <v>0.98820089050759308</v>
      </c>
      <c r="F9" s="1">
        <v>0.98799999999999999</v>
      </c>
      <c r="G9" s="1">
        <f t="shared" si="7"/>
        <v>2.008905075930878E-4</v>
      </c>
      <c r="K9" s="1">
        <f t="shared" si="0"/>
        <v>0.2659593659075592</v>
      </c>
      <c r="L9" s="1">
        <v>0.26600000000000001</v>
      </c>
      <c r="M9" s="1">
        <f t="shared" si="1"/>
        <v>-4.0634092440816616E-5</v>
      </c>
      <c r="Q9" s="12">
        <f t="shared" si="2"/>
        <v>0</v>
      </c>
      <c r="R9" s="1">
        <v>0</v>
      </c>
      <c r="S9" s="1">
        <f t="shared" si="3"/>
        <v>0</v>
      </c>
      <c r="W9" s="13">
        <f t="shared" si="4"/>
        <v>-9.708737864077678E-6</v>
      </c>
      <c r="X9" s="1">
        <v>0</v>
      </c>
      <c r="Y9" s="13">
        <f t="shared" si="8"/>
        <v>-9.708737864077678E-6</v>
      </c>
      <c r="AC9" s="13">
        <f t="shared" si="5"/>
        <v>3.8834951456310712E-5</v>
      </c>
      <c r="AD9" s="1">
        <v>0</v>
      </c>
      <c r="AE9" s="1">
        <f t="shared" si="9"/>
        <v>3.8834951456310712E-5</v>
      </c>
      <c r="AI9" s="1">
        <f t="shared" si="10"/>
        <v>1.8728801932972179</v>
      </c>
      <c r="AJ9" s="1">
        <v>1.873</v>
      </c>
      <c r="AK9" s="13">
        <f t="shared" si="11"/>
        <v>-1.1980670278211036E-4</v>
      </c>
      <c r="AN9" s="3"/>
      <c r="AO9" s="1">
        <f t="shared" si="12"/>
        <v>1.5019299863909714</v>
      </c>
      <c r="AP9" s="1">
        <v>1.502</v>
      </c>
      <c r="AQ9" s="1">
        <f t="shared" si="13"/>
        <v>-7.0013609028585222E-5</v>
      </c>
      <c r="AU9" s="1">
        <f t="shared" si="14"/>
        <v>2.8312714384236992</v>
      </c>
      <c r="AV9" s="1">
        <v>2.831</v>
      </c>
      <c r="AW9" s="1">
        <f t="shared" si="15"/>
        <v>2.7143842369925508E-4</v>
      </c>
      <c r="BS9">
        <v>-1.9E-2</v>
      </c>
      <c r="BT9">
        <v>1.4999999999999999E-2</v>
      </c>
      <c r="BU9">
        <v>-1.4999999999999999E-2</v>
      </c>
      <c r="DC9" s="1">
        <v>6</v>
      </c>
      <c r="DD9" s="1" cm="1">
        <f t="array" ref="DD9">SUMPRODUCT($A$3:$A$12,COS(2*PI()*DC9*_xlfn.SEQUENCE(10,1,0,1)/10))</f>
        <v>-5.0901699437495562E-3</v>
      </c>
      <c r="DE9" s="1">
        <v>-5.0000000000000001E-3</v>
      </c>
      <c r="DF9" s="1">
        <f t="shared" si="16"/>
        <v>-9.0169943749556121E-5</v>
      </c>
    </row>
    <row r="10" spans="1:118" x14ac:dyDescent="0.3">
      <c r="A10" s="7">
        <v>-0.29599999999999999</v>
      </c>
      <c r="B10" s="8">
        <v>6.9000000000000006E-2</v>
      </c>
      <c r="C10" s="9">
        <v>-0.94199999999999995</v>
      </c>
      <c r="E10" s="1">
        <f t="shared" si="6"/>
        <v>0.98981867026238701</v>
      </c>
      <c r="F10" s="1">
        <v>0.99</v>
      </c>
      <c r="G10" s="1">
        <f t="shared" si="7"/>
        <v>-1.8132973761297855E-4</v>
      </c>
      <c r="K10" s="1">
        <f t="shared" si="0"/>
        <v>0.26795625631925257</v>
      </c>
      <c r="L10" s="1">
        <v>0.26800000000000002</v>
      </c>
      <c r="M10" s="1">
        <f t="shared" si="1"/>
        <v>-4.3743680747443392E-5</v>
      </c>
      <c r="Q10" s="12">
        <f t="shared" si="2"/>
        <v>-1.9417475728155356E-5</v>
      </c>
      <c r="R10" s="1">
        <v>0</v>
      </c>
      <c r="S10" s="1">
        <f t="shared" si="3"/>
        <v>-1.9417475728155356E-5</v>
      </c>
      <c r="W10" s="13">
        <f t="shared" si="4"/>
        <v>9.708737864077678E-6</v>
      </c>
      <c r="X10" s="1">
        <v>0</v>
      </c>
      <c r="Y10" s="13">
        <f t="shared" si="8"/>
        <v>9.708737864077678E-6</v>
      </c>
      <c r="AC10" s="13">
        <f t="shared" si="5"/>
        <v>-9.708737864077678E-6</v>
      </c>
      <c r="AD10" s="1">
        <v>0</v>
      </c>
      <c r="AE10" s="1">
        <f t="shared" si="9"/>
        <v>-9.708737864077678E-6</v>
      </c>
      <c r="AI10" s="1">
        <f t="shared" si="10"/>
        <v>1.8744876828738799</v>
      </c>
      <c r="AJ10" s="1">
        <v>1.8740000000000001</v>
      </c>
      <c r="AK10" s="13">
        <f t="shared" si="11"/>
        <v>4.8768287387979115E-4</v>
      </c>
      <c r="AN10" s="3"/>
      <c r="AO10" s="1">
        <f t="shared" si="12"/>
        <v>1.5010300066801343</v>
      </c>
      <c r="AP10" s="1">
        <v>1.5009999999999999</v>
      </c>
      <c r="AQ10" s="1">
        <f t="shared" si="13"/>
        <v>3.0006680134420094E-5</v>
      </c>
      <c r="AU10" s="1">
        <f t="shared" si="14"/>
        <v>2.8294881493170467</v>
      </c>
      <c r="AV10" s="1">
        <v>2.8290000000000002</v>
      </c>
      <c r="AW10" s="1">
        <f t="shared" si="15"/>
        <v>4.8814931704654896E-4</v>
      </c>
      <c r="BS10">
        <v>-3.5000000000000003E-2</v>
      </c>
      <c r="BT10">
        <v>3.1E-2</v>
      </c>
      <c r="BU10">
        <v>-0.01</v>
      </c>
      <c r="DC10" s="1">
        <v>7</v>
      </c>
      <c r="DD10" s="1" cm="1">
        <f t="array" ref="DD10">SUMPRODUCT($A$3:$A$12,COS(2*PI()*DC10*_xlfn.SEQUENCE(10,1,0,1)/10))</f>
        <v>-2.0557280899994451E-3</v>
      </c>
      <c r="DE10" s="1">
        <v>-2E-3</v>
      </c>
      <c r="DF10" s="1">
        <f t="shared" si="16"/>
        <v>-5.5728089999445077E-5</v>
      </c>
    </row>
    <row r="11" spans="1:118" x14ac:dyDescent="0.3">
      <c r="A11" s="7">
        <v>-0.29799999999999999</v>
      </c>
      <c r="B11" s="8">
        <v>6.6000000000000003E-2</v>
      </c>
      <c r="C11" s="9">
        <v>-0.94</v>
      </c>
      <c r="E11" s="1">
        <f t="shared" si="6"/>
        <v>0.98831169172483235</v>
      </c>
      <c r="F11" s="1">
        <v>0.98799999999999999</v>
      </c>
      <c r="G11" s="1">
        <f t="shared" si="7"/>
        <v>3.1169172483236363E-4</v>
      </c>
      <c r="K11" s="1">
        <f t="shared" si="0"/>
        <v>0.26442104530280564</v>
      </c>
      <c r="L11" s="1">
        <v>0.26400000000000001</v>
      </c>
      <c r="M11" s="1">
        <f t="shared" si="1"/>
        <v>4.2104530280562269E-4</v>
      </c>
      <c r="Q11" s="12">
        <f t="shared" si="2"/>
        <v>-1.9417475728155356E-5</v>
      </c>
      <c r="R11" s="1">
        <v>0</v>
      </c>
      <c r="S11" s="1">
        <f t="shared" si="3"/>
        <v>-1.9417475728155356E-5</v>
      </c>
      <c r="W11" s="13">
        <f t="shared" si="4"/>
        <v>-2.9126213592233034E-5</v>
      </c>
      <c r="X11" s="1">
        <v>0</v>
      </c>
      <c r="Y11" s="13">
        <f t="shared" si="8"/>
        <v>-2.9126213592233034E-5</v>
      </c>
      <c r="AC11" s="13">
        <f t="shared" si="5"/>
        <v>1.9417475728155356E-5</v>
      </c>
      <c r="AD11" s="1">
        <v>0</v>
      </c>
      <c r="AE11" s="1">
        <f t="shared" si="9"/>
        <v>1.9417475728155356E-5</v>
      </c>
      <c r="AI11" s="1">
        <f t="shared" si="10"/>
        <v>1.8770872932752565</v>
      </c>
      <c r="AJ11" s="1">
        <v>1.877</v>
      </c>
      <c r="AK11" s="13">
        <f t="shared" si="11"/>
        <v>8.7293275256472569E-5</v>
      </c>
      <c r="AN11" s="3"/>
      <c r="AO11" s="1">
        <f t="shared" si="12"/>
        <v>1.5039660390165766</v>
      </c>
      <c r="AP11" s="1">
        <v>1.504</v>
      </c>
      <c r="AQ11" s="1">
        <f t="shared" si="13"/>
        <v>-3.3960983423453328E-5</v>
      </c>
      <c r="AU11" s="1">
        <f t="shared" si="14"/>
        <v>2.8276290085319218</v>
      </c>
      <c r="AV11" s="1">
        <v>2.8279999999999998</v>
      </c>
      <c r="AW11" s="1">
        <f t="shared" si="15"/>
        <v>-3.7099146807806349E-4</v>
      </c>
      <c r="BS11">
        <v>-4.2999999999999997E-2</v>
      </c>
      <c r="BT11">
        <v>2.5999999999999999E-2</v>
      </c>
      <c r="BU11">
        <v>-8.9999999999999993E-3</v>
      </c>
      <c r="DC11" s="1">
        <v>8</v>
      </c>
      <c r="DD11" s="1" cm="1">
        <f t="array" ref="DD11">SUMPRODUCT($A$3:$A$12,COS(2*PI()*DC11*_xlfn.SEQUENCE(10,1,0,1)/10))</f>
        <v>6.0901699437490714E-3</v>
      </c>
      <c r="DE11" s="1">
        <v>6.0000000000000001E-3</v>
      </c>
      <c r="DF11" s="1">
        <f t="shared" si="16"/>
        <v>9.0169943749071266E-5</v>
      </c>
    </row>
    <row r="12" spans="1:118" x14ac:dyDescent="0.3">
      <c r="A12" s="7">
        <v>-0.29699999999999999</v>
      </c>
      <c r="B12" s="8">
        <v>6.4000000000000001E-2</v>
      </c>
      <c r="C12" s="9">
        <v>-0.94399999999999995</v>
      </c>
      <c r="E12" s="1">
        <f t="shared" si="6"/>
        <v>0.99168593818809381</v>
      </c>
      <c r="F12" s="1">
        <v>0.99199999999999999</v>
      </c>
      <c r="G12" s="1">
        <f t="shared" si="7"/>
        <v>-3.1406181190618554E-4</v>
      </c>
      <c r="K12" s="1">
        <f t="shared" si="0"/>
        <v>0.26179989771305601</v>
      </c>
      <c r="L12" s="1">
        <v>0.26200000000000001</v>
      </c>
      <c r="M12" s="1">
        <f t="shared" si="1"/>
        <v>-2.0010228694400389E-4</v>
      </c>
      <c r="Q12" s="12">
        <f t="shared" si="2"/>
        <v>9.708737864077678E-6</v>
      </c>
      <c r="R12" s="1">
        <v>0</v>
      </c>
      <c r="S12" s="1">
        <f t="shared" si="3"/>
        <v>9.708737864077678E-6</v>
      </c>
      <c r="W12" s="13">
        <f t="shared" si="4"/>
        <v>-1.9417475728155356E-5</v>
      </c>
      <c r="X12" s="1">
        <v>0</v>
      </c>
      <c r="Y12" s="13">
        <f t="shared" si="8"/>
        <v>-1.9417475728155356E-5</v>
      </c>
      <c r="AC12" s="13">
        <f t="shared" si="5"/>
        <v>-3.8834951456310712E-5</v>
      </c>
      <c r="AD12" s="1">
        <v>0</v>
      </c>
      <c r="AE12" s="1">
        <f t="shared" si="9"/>
        <v>-3.8834951456310712E-5</v>
      </c>
      <c r="AI12" s="1">
        <f t="shared" si="10"/>
        <v>1.8749543775958313</v>
      </c>
      <c r="AJ12" s="1">
        <v>1.875</v>
      </c>
      <c r="AK12" s="13">
        <f t="shared" si="11"/>
        <v>-4.5622404168721431E-5</v>
      </c>
      <c r="AN12" s="3"/>
      <c r="AO12" s="1">
        <f t="shared" si="12"/>
        <v>1.5062148828837798</v>
      </c>
      <c r="AP12" s="1">
        <v>1.506</v>
      </c>
      <c r="AQ12" s="1">
        <f t="shared" si="13"/>
        <v>2.1488288377979892E-4</v>
      </c>
      <c r="AU12" s="1">
        <f t="shared" si="14"/>
        <v>2.8302211134188298</v>
      </c>
      <c r="AV12" s="1">
        <v>2.83</v>
      </c>
      <c r="AW12" s="1">
        <f t="shared" si="15"/>
        <v>2.2111341882968816E-4</v>
      </c>
      <c r="BS12">
        <v>-4.2000000000000003E-2</v>
      </c>
      <c r="BT12">
        <v>3.1E-2</v>
      </c>
      <c r="BU12">
        <v>-1.2E-2</v>
      </c>
      <c r="DC12" s="1">
        <v>9</v>
      </c>
      <c r="DD12" s="1" cm="1">
        <f t="array" ref="DD12">SUMPRODUCT($A$3:$A$12,COS(2*PI()*DC12*_xlfn.SEQUENCE(10,1,0,1)/10))</f>
        <v>-1.9944271909999839E-2</v>
      </c>
      <c r="DE12" s="1">
        <v>-0.02</v>
      </c>
      <c r="DF12" s="1">
        <f t="shared" si="16"/>
        <v>5.5728090000161518E-5</v>
      </c>
    </row>
    <row r="13" spans="1:118" x14ac:dyDescent="0.3">
      <c r="K13" s="4"/>
      <c r="AN13" s="3"/>
      <c r="BS13">
        <v>-3.3000000000000002E-2</v>
      </c>
      <c r="BT13">
        <v>2.1000000000000001E-2</v>
      </c>
      <c r="BU13">
        <v>-8.0000000000000002E-3</v>
      </c>
    </row>
    <row r="14" spans="1:118" x14ac:dyDescent="0.3">
      <c r="G14" s="6"/>
      <c r="K14" s="4"/>
      <c r="P14" s="3"/>
      <c r="BA14" s="4"/>
      <c r="BC14" s="5"/>
      <c r="BS14">
        <v>-1.9E-2</v>
      </c>
      <c r="BT14">
        <v>1.2999999999999999E-2</v>
      </c>
      <c r="BU14">
        <v>-1.4999999999999999E-2</v>
      </c>
    </row>
    <row r="15" spans="1:118" x14ac:dyDescent="0.3">
      <c r="A15" s="2" t="s">
        <v>27</v>
      </c>
      <c r="B15" s="14" t="s">
        <v>24</v>
      </c>
      <c r="C15" s="15" t="s">
        <v>25</v>
      </c>
      <c r="K15" s="4"/>
      <c r="P15" s="3"/>
      <c r="BA15" s="4"/>
      <c r="BC15" s="5"/>
      <c r="BS15">
        <v>-1.7999999999999999E-2</v>
      </c>
      <c r="BT15">
        <v>1.4E-2</v>
      </c>
      <c r="BU15">
        <v>-0.02</v>
      </c>
    </row>
    <row r="16" spans="1:118" x14ac:dyDescent="0.3">
      <c r="A16" s="1" t="s">
        <v>28</v>
      </c>
      <c r="B16" s="1">
        <f>AVERAGE(G3:G12)</f>
        <v>-4.3932731581752818E-5</v>
      </c>
      <c r="C16" s="1">
        <f>_xlfn.STDEV.P(G3:G12)</f>
        <v>2.6304931143686312E-4</v>
      </c>
      <c r="K16" s="4"/>
      <c r="P16" s="3"/>
      <c r="AP16" s="3"/>
      <c r="BS16">
        <v>-1.4999999999999999E-2</v>
      </c>
      <c r="BT16">
        <v>1.0999999999999999E-2</v>
      </c>
      <c r="BU16">
        <v>-2.3E-2</v>
      </c>
    </row>
    <row r="17" spans="1:104" x14ac:dyDescent="0.3">
      <c r="A17" s="1" t="s">
        <v>29</v>
      </c>
      <c r="B17" s="1">
        <f>AVERAGE(M3:M12)</f>
        <v>7.894772136956551E-5</v>
      </c>
      <c r="C17" s="1">
        <f>_xlfn.STDEV.P(M3:M12)</f>
        <v>2.531554807534347E-4</v>
      </c>
      <c r="P17" s="3"/>
      <c r="BS17">
        <v>-1.6E-2</v>
      </c>
      <c r="BT17">
        <v>1.4E-2</v>
      </c>
      <c r="BU17">
        <v>-2.3E-2</v>
      </c>
    </row>
    <row r="18" spans="1:104" x14ac:dyDescent="0.3">
      <c r="A18" s="1" t="s">
        <v>16</v>
      </c>
      <c r="P18" s="3"/>
      <c r="AP18" s="3"/>
    </row>
    <row r="19" spans="1:104" x14ac:dyDescent="0.3">
      <c r="A19" s="1" t="s">
        <v>17</v>
      </c>
      <c r="P19" s="3"/>
      <c r="AW19" s="4"/>
      <c r="AY19" s="5"/>
    </row>
    <row r="20" spans="1:104" x14ac:dyDescent="0.3">
      <c r="A20" s="1" t="s">
        <v>18</v>
      </c>
      <c r="P20" s="3"/>
      <c r="AW20" s="4"/>
      <c r="AY20" s="5"/>
    </row>
    <row r="21" spans="1:104" x14ac:dyDescent="0.3">
      <c r="A21" s="1" t="s">
        <v>22</v>
      </c>
      <c r="P21" s="3"/>
      <c r="AW21" s="4"/>
      <c r="AY21" s="5"/>
    </row>
    <row r="22" spans="1:104" x14ac:dyDescent="0.3">
      <c r="A22" s="1" t="s">
        <v>23</v>
      </c>
      <c r="P22" s="3"/>
      <c r="AW22" s="4"/>
      <c r="AY22" s="5"/>
    </row>
    <row r="23" spans="1:104" x14ac:dyDescent="0.3">
      <c r="A23" s="1" t="s">
        <v>30</v>
      </c>
      <c r="P23" s="3"/>
      <c r="AW23" s="4"/>
      <c r="AY23" s="5"/>
    </row>
    <row r="24" spans="1:104" x14ac:dyDescent="0.3">
      <c r="A24" s="1" t="s">
        <v>0</v>
      </c>
      <c r="P24" s="3"/>
      <c r="AW24" s="4"/>
      <c r="AY24" s="5"/>
    </row>
    <row r="25" spans="1:104" x14ac:dyDescent="0.3">
      <c r="A25" s="1" t="s">
        <v>1</v>
      </c>
      <c r="P25" s="3"/>
      <c r="AW25" s="4"/>
      <c r="AY25" s="5"/>
      <c r="CX25" s="4"/>
      <c r="CZ25" s="5"/>
    </row>
    <row r="26" spans="1:104" x14ac:dyDescent="0.3">
      <c r="A26" s="1" t="s">
        <v>2</v>
      </c>
      <c r="P26" s="3"/>
      <c r="AW26" s="4"/>
      <c r="AY26" s="5"/>
    </row>
    <row r="27" spans="1:104" x14ac:dyDescent="0.3">
      <c r="A27" s="1" t="s">
        <v>3</v>
      </c>
      <c r="P27" s="3"/>
      <c r="AW27" s="4"/>
      <c r="AY27" s="5"/>
    </row>
    <row r="28" spans="1:104" x14ac:dyDescent="0.3">
      <c r="A28" s="1" t="s">
        <v>4</v>
      </c>
      <c r="P28" s="3"/>
      <c r="AW28" s="4"/>
      <c r="AY28" s="5"/>
    </row>
    <row r="29" spans="1:104" x14ac:dyDescent="0.3">
      <c r="A29" s="1" t="s">
        <v>5</v>
      </c>
      <c r="K29" s="4"/>
      <c r="P29" s="3"/>
      <c r="AW29" s="4"/>
      <c r="AY29" s="5"/>
    </row>
    <row r="30" spans="1:104" x14ac:dyDescent="0.3">
      <c r="A30" s="1" t="s">
        <v>6</v>
      </c>
      <c r="K30" s="4"/>
      <c r="P30" s="3"/>
      <c r="AW30" s="4"/>
      <c r="AY30" s="5"/>
    </row>
    <row r="31" spans="1:104" x14ac:dyDescent="0.3">
      <c r="A31" s="1" t="s">
        <v>7</v>
      </c>
      <c r="K31" s="4"/>
      <c r="P31" s="3"/>
      <c r="AW31" s="4"/>
      <c r="AY31" s="5"/>
    </row>
    <row r="32" spans="1:104" x14ac:dyDescent="0.3">
      <c r="A32" s="1" t="s">
        <v>8</v>
      </c>
      <c r="K32" s="4"/>
      <c r="P32" s="3"/>
      <c r="AW32" s="4"/>
      <c r="AY32" s="5"/>
    </row>
    <row r="33" spans="1:51" x14ac:dyDescent="0.3">
      <c r="A33" s="1" t="s">
        <v>9</v>
      </c>
      <c r="K33" s="4"/>
      <c r="P33" s="3"/>
      <c r="AW33" s="4"/>
      <c r="AY33" s="5"/>
    </row>
    <row r="34" spans="1:51" x14ac:dyDescent="0.3">
      <c r="A34" s="1" t="s">
        <v>10</v>
      </c>
      <c r="K34" s="4"/>
      <c r="AW34" s="4"/>
      <c r="AY34" s="5"/>
    </row>
  </sheetData>
  <mergeCells count="19">
    <mergeCell ref="BS1:BW1"/>
    <mergeCell ref="BA1:BE1"/>
    <mergeCell ref="BG1:BK1"/>
    <mergeCell ref="BM1:BQ1"/>
    <mergeCell ref="E1:I1"/>
    <mergeCell ref="K1:O1"/>
    <mergeCell ref="Q1:U1"/>
    <mergeCell ref="W1:AA1"/>
    <mergeCell ref="AC1:AG1"/>
    <mergeCell ref="AI1:AM1"/>
    <mergeCell ref="AO1:AS1"/>
    <mergeCell ref="AU1:AY1"/>
    <mergeCell ref="DC1:DH1"/>
    <mergeCell ref="DJ1:DN1"/>
    <mergeCell ref="BY1:CC1"/>
    <mergeCell ref="CE1:CI1"/>
    <mergeCell ref="CK1:CO1"/>
    <mergeCell ref="CQ1:CU1"/>
    <mergeCell ref="CW1:D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ΑΧΙΛΛΙΟΣ ΠΙΤΣΙΛΚΑΣ</dc:creator>
  <cp:lastModifiedBy>Axilleas Pitsilkas</cp:lastModifiedBy>
  <dcterms:created xsi:type="dcterms:W3CDTF">2025-06-21T16:46:56Z</dcterms:created>
  <dcterms:modified xsi:type="dcterms:W3CDTF">2026-03-01T16:41:07Z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2026-02-07T20:56:16Z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813895cf-57ca-4fcd-ae33-b858dbf916e4</vt:lpwstr>
  </property>
  <property fmtid="{D5CDD505-2E9C-101B-9397-08002B2CF9AE}" pid="7" name="MSIP_Label_defa4170-0d19-0005-0004-bc88714345d2_ActionId">
    <vt:lpwstr>21548023-0db7-4308-8921-201ff4c6bf6a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